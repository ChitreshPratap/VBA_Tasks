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95" yWindow="30" windowWidth="13380" windowHeight="6885"/>
  </bookViews>
  <sheets>
    <sheet name="SummarySheet" sheetId="1" r:id="rId1"/>
    <sheet name="Rept Example" sheetId="2" r:id="rId2"/>
    <sheet name="naukri.com" sheetId="3" r:id="rId3"/>
    <sheet name="Text Function" sheetId="4" r:id="rId4"/>
    <sheet name="Sheet2" sheetId="6" r:id="rId5"/>
    <sheet name="Sheet3" sheetId="7" r:id="rId6"/>
    <sheet name="Sheet4" sheetId="8" r:id="rId7"/>
    <sheet name="Sheet1" sheetId="5" r:id="rId8"/>
  </sheets>
  <calcPr calcId="124519"/>
</workbook>
</file>

<file path=xl/calcChain.xml><?xml version="1.0" encoding="utf-8"?>
<calcChain xmlns="http://schemas.openxmlformats.org/spreadsheetml/2006/main">
  <c r="G24" i="1"/>
  <c r="L5" i="5"/>
  <c r="B2" i="8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1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2"/>
  <c r="D90" i="4"/>
  <c r="D89"/>
  <c r="B3" i="7"/>
  <c r="B4"/>
  <c r="B5"/>
  <c r="B6"/>
  <c r="B7"/>
  <c r="B8"/>
  <c r="B9"/>
  <c r="B10"/>
  <c r="B11"/>
  <c r="B12"/>
  <c r="B13"/>
  <c r="B2"/>
  <c r="C6" i="6"/>
  <c r="B6"/>
  <c r="C1" a="1"/>
  <c r="C1" s="1"/>
  <c r="B109" i="4"/>
  <c r="B110"/>
  <c r="B111"/>
  <c r="B112"/>
  <c r="B113"/>
  <c r="B114"/>
  <c r="B108"/>
  <c r="B98" a="1"/>
  <c r="B98"/>
  <c r="B99" a="1"/>
  <c r="B99" s="1"/>
  <c r="B100" a="1"/>
  <c r="B100"/>
  <c r="B101" a="1"/>
  <c r="B101" s="1"/>
  <c r="B97" a="1"/>
  <c r="B97" s="1"/>
  <c r="AD3" i="5"/>
  <c r="W4"/>
  <c r="Q5"/>
  <c r="L6"/>
  <c r="L7"/>
  <c r="L8"/>
  <c r="L9"/>
  <c r="L10"/>
  <c r="L11"/>
  <c r="B104" i="4"/>
  <c r="C105" s="1"/>
  <c r="B88"/>
  <c r="C88" s="1"/>
  <c r="C89"/>
  <c r="C90"/>
  <c r="C91"/>
  <c r="C92"/>
  <c r="C93"/>
  <c r="C94"/>
  <c r="B89"/>
  <c r="B90"/>
  <c r="B91"/>
  <c r="B92"/>
  <c r="B93"/>
  <c r="B94"/>
  <c r="C78"/>
  <c r="D78" s="1"/>
  <c r="B78"/>
  <c r="E81"/>
  <c r="E82"/>
  <c r="E83"/>
  <c r="E84"/>
  <c r="E85"/>
  <c r="E80"/>
  <c r="D81"/>
  <c r="D82"/>
  <c r="D83"/>
  <c r="D84"/>
  <c r="D80"/>
  <c r="C81"/>
  <c r="C82"/>
  <c r="C83"/>
  <c r="C84"/>
  <c r="C80"/>
  <c r="D59"/>
  <c r="D60"/>
  <c r="D61"/>
  <c r="D62"/>
  <c r="D63"/>
  <c r="D64"/>
  <c r="D65"/>
  <c r="E59"/>
  <c r="E60"/>
  <c r="E61"/>
  <c r="E62"/>
  <c r="E63"/>
  <c r="E64"/>
  <c r="E65"/>
  <c r="B60"/>
  <c r="B61"/>
  <c r="B62"/>
  <c r="B63"/>
  <c r="B64"/>
  <c r="B65"/>
  <c r="B59"/>
  <c r="C59"/>
  <c r="C60"/>
  <c r="C61"/>
  <c r="C62"/>
  <c r="C63"/>
  <c r="C64"/>
  <c r="C65"/>
  <c r="B56"/>
  <c r="B54"/>
  <c r="B55"/>
  <c r="B45"/>
  <c r="B39" a="1"/>
  <c r="D39" s="1"/>
  <c r="B39"/>
  <c r="C39"/>
  <c r="E39"/>
  <c r="B40" a="1"/>
  <c r="C40" s="1"/>
  <c r="B41" a="1"/>
  <c r="B41" s="1"/>
  <c r="D41"/>
  <c r="B42" a="1"/>
  <c r="B42"/>
  <c r="C42"/>
  <c r="D42"/>
  <c r="E42"/>
  <c r="B38" a="1"/>
  <c r="D38" s="1"/>
  <c r="B31"/>
  <c r="B32"/>
  <c r="B33"/>
  <c r="B34"/>
  <c r="B30"/>
  <c r="C23"/>
  <c r="C24"/>
  <c r="C25"/>
  <c r="C26"/>
  <c r="C27"/>
  <c r="C22"/>
  <c r="B23"/>
  <c r="B24"/>
  <c r="B25"/>
  <c r="B26"/>
  <c r="B27"/>
  <c r="B22"/>
  <c r="E23"/>
  <c r="E24"/>
  <c r="E25"/>
  <c r="E26"/>
  <c r="E22"/>
  <c r="D23"/>
  <c r="D24"/>
  <c r="D25"/>
  <c r="D26"/>
  <c r="D22"/>
  <c r="B14"/>
  <c r="C15"/>
  <c r="C16"/>
  <c r="C17"/>
  <c r="C18"/>
  <c r="C14"/>
  <c r="B15"/>
  <c r="B16"/>
  <c r="B17"/>
  <c r="B18"/>
  <c r="F5"/>
  <c r="F6"/>
  <c r="F7"/>
  <c r="F8"/>
  <c r="F9"/>
  <c r="E5"/>
  <c r="E6"/>
  <c r="E7"/>
  <c r="E8"/>
  <c r="E9"/>
  <c r="E4"/>
  <c r="D9"/>
  <c r="D6"/>
  <c r="D7"/>
  <c r="D8"/>
  <c r="D5"/>
  <c r="D4"/>
  <c r="F4" s="1"/>
  <c r="C5"/>
  <c r="C6"/>
  <c r="C7"/>
  <c r="C8"/>
  <c r="C9"/>
  <c r="C4"/>
  <c r="B9"/>
  <c r="B5"/>
  <c r="B6"/>
  <c r="B7"/>
  <c r="B8"/>
  <c r="B4"/>
  <c r="H12"/>
  <c r="H15"/>
  <c r="H14"/>
  <c r="H11"/>
  <c r="G3"/>
  <c r="G2"/>
  <c r="E33" i="1"/>
  <c r="F34"/>
  <c r="G31"/>
  <c r="F31"/>
  <c r="F30"/>
  <c r="C6" i="3"/>
  <c r="C7"/>
  <c r="C8"/>
  <c r="C9"/>
  <c r="C10"/>
  <c r="C11"/>
  <c r="C12"/>
  <c r="C13"/>
  <c r="C14"/>
  <c r="C5"/>
  <c r="G6"/>
  <c r="G7"/>
  <c r="G8"/>
  <c r="G9"/>
  <c r="G10"/>
  <c r="G11"/>
  <c r="G12"/>
  <c r="G13"/>
  <c r="G14"/>
  <c r="G5"/>
  <c r="F5"/>
  <c r="D6"/>
  <c r="D7"/>
  <c r="D8"/>
  <c r="D9"/>
  <c r="D10"/>
  <c r="D11"/>
  <c r="D12"/>
  <c r="D13"/>
  <c r="D14"/>
  <c r="D5"/>
  <c r="F6"/>
  <c r="F7"/>
  <c r="F8"/>
  <c r="F9"/>
  <c r="F10"/>
  <c r="F11"/>
  <c r="F12"/>
  <c r="F13"/>
  <c r="F14"/>
  <c r="E29" i="1"/>
  <c r="E28"/>
  <c r="E27"/>
  <c r="E24"/>
  <c r="E23"/>
  <c r="E22"/>
  <c r="AF3" i="5" l="1"/>
  <c r="E40" i="4"/>
  <c r="C41"/>
  <c r="D40"/>
  <c r="E41"/>
  <c r="B40"/>
  <c r="B38"/>
  <c r="C38"/>
  <c r="E38"/>
  <c r="C7" i="2"/>
  <c r="D7" s="1"/>
  <c r="C4"/>
  <c r="D4" s="1"/>
  <c r="C5"/>
  <c r="D5" s="1"/>
  <c r="C6"/>
  <c r="D6" s="1"/>
  <c r="C8"/>
  <c r="D8" s="1"/>
  <c r="C9"/>
  <c r="D9" s="1"/>
  <c r="C10"/>
  <c r="D10" s="1"/>
  <c r="C3"/>
  <c r="D3" s="1"/>
  <c r="B5"/>
  <c r="B6" s="1"/>
  <c r="B7" s="1"/>
  <c r="B8" s="1"/>
  <c r="B9" s="1"/>
  <c r="B10" s="1"/>
  <c r="B4"/>
  <c r="E21" i="1"/>
  <c r="E20"/>
  <c r="E17"/>
  <c r="F19"/>
  <c r="E16"/>
  <c r="F15"/>
  <c r="E15"/>
  <c r="E13"/>
  <c r="F13"/>
  <c r="E12"/>
  <c r="F12"/>
  <c r="I7"/>
  <c r="E11"/>
  <c r="E10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"/>
  <c r="E9"/>
</calcChain>
</file>

<file path=xl/sharedStrings.xml><?xml version="1.0" encoding="utf-8"?>
<sst xmlns="http://schemas.openxmlformats.org/spreadsheetml/2006/main" count="471" uniqueCount="363">
  <si>
    <t>TEXT FUNCTION</t>
  </si>
  <si>
    <t>Function Name</t>
  </si>
  <si>
    <t>Live Example</t>
  </si>
  <si>
    <t>Descriptions</t>
  </si>
  <si>
    <t>Criteria</t>
  </si>
  <si>
    <t>Bahttext</t>
  </si>
  <si>
    <t>Convert in thai Language</t>
  </si>
  <si>
    <t>Char</t>
  </si>
  <si>
    <t>ASCII Code</t>
  </si>
  <si>
    <t>American Standard code of Information Interchange</t>
  </si>
  <si>
    <t>Convert in Characters</t>
  </si>
  <si>
    <t>Code</t>
  </si>
  <si>
    <t>L</t>
  </si>
  <si>
    <t>Convert in ASCII Code</t>
  </si>
  <si>
    <t>Clean</t>
  </si>
  <si>
    <t>To Remove Non-Printable Text</t>
  </si>
  <si>
    <t>Trim</t>
  </si>
  <si>
    <t>To Remove Unwanted Space</t>
  </si>
  <si>
    <t>Concatenate</t>
  </si>
  <si>
    <t>Rajesh</t>
  </si>
  <si>
    <t>Garg</t>
  </si>
  <si>
    <t>To Add Text</t>
  </si>
  <si>
    <t>Dollar</t>
  </si>
  <si>
    <t>To convert with Dollar</t>
  </si>
  <si>
    <t>Exact</t>
  </si>
  <si>
    <t>RAHUL</t>
  </si>
  <si>
    <t>rahul</t>
  </si>
  <si>
    <t>Use for Exact Matching</t>
  </si>
  <si>
    <t>Fixed</t>
  </si>
  <si>
    <t>Rept</t>
  </si>
  <si>
    <t>Date</t>
  </si>
  <si>
    <t>Productivity</t>
  </si>
  <si>
    <t>Presentation</t>
  </si>
  <si>
    <t>Stencil</t>
  </si>
  <si>
    <t>Lower</t>
  </si>
  <si>
    <t>Upper</t>
  </si>
  <si>
    <t>Proper</t>
  </si>
  <si>
    <t>RAJESH</t>
  </si>
  <si>
    <t>Marks</t>
  </si>
  <si>
    <t>TEXT</t>
  </si>
  <si>
    <t>T</t>
  </si>
  <si>
    <t>Identify only Text</t>
  </si>
  <si>
    <t>232fsds</t>
  </si>
  <si>
    <t>N</t>
  </si>
  <si>
    <t>erer</t>
  </si>
  <si>
    <t>Name+EmP ID</t>
  </si>
  <si>
    <t>Mohit</t>
  </si>
  <si>
    <t>Pankaj</t>
  </si>
  <si>
    <t>Sunil</t>
  </si>
  <si>
    <t>Varun</t>
  </si>
  <si>
    <t>Emp ID</t>
  </si>
  <si>
    <t>Value</t>
  </si>
  <si>
    <t>1</t>
  </si>
  <si>
    <t>Datevalue</t>
  </si>
  <si>
    <t>timevalue</t>
  </si>
  <si>
    <t>2/10/2014</t>
  </si>
  <si>
    <t>ctrl+shift+#</t>
  </si>
  <si>
    <t>Find</t>
  </si>
  <si>
    <t>Search</t>
  </si>
  <si>
    <t>Left</t>
  </si>
  <si>
    <t>Right</t>
  </si>
  <si>
    <t>Mid</t>
  </si>
  <si>
    <t>Replace</t>
  </si>
  <si>
    <t>Substitute</t>
  </si>
  <si>
    <t>Len</t>
  </si>
  <si>
    <t>Kya Dhoondhna hai</t>
  </si>
  <si>
    <t>Kisme Dhoodhna hai</t>
  </si>
  <si>
    <t>Kaha se dhoondhna hai</t>
  </si>
  <si>
    <t>anoop</t>
  </si>
  <si>
    <t>Range</t>
  </si>
  <si>
    <t>Total text from Left size</t>
  </si>
  <si>
    <t>Total Text from Right Size</t>
  </si>
  <si>
    <t>Start From</t>
  </si>
  <si>
    <t>Total Length</t>
  </si>
  <si>
    <t>Text</t>
  </si>
  <si>
    <t>Totaltxt</t>
  </si>
  <si>
    <t>NewText</t>
  </si>
  <si>
    <t>Old Text</t>
  </si>
  <si>
    <t>New Text</t>
  </si>
  <si>
    <t>Instance No.</t>
  </si>
  <si>
    <t>Vikas Verma</t>
  </si>
  <si>
    <t>Substitue</t>
  </si>
  <si>
    <t>Anoop Kumar</t>
  </si>
  <si>
    <t>First Name</t>
  </si>
  <si>
    <t>Last Name</t>
  </si>
  <si>
    <t>sam disuja</t>
  </si>
  <si>
    <t>Ram Pandey</t>
  </si>
  <si>
    <t>Pashupati Nath</t>
  </si>
  <si>
    <t>Sachin Tendulkar</t>
  </si>
  <si>
    <t xml:space="preserve">Anoop </t>
  </si>
  <si>
    <t>Muthaiya Murlidharan</t>
  </si>
  <si>
    <t>Murli Manohar Joshi</t>
  </si>
  <si>
    <t>Laloo Prashad Yadav</t>
  </si>
  <si>
    <t>Rajiv Ranjan Singh</t>
  </si>
  <si>
    <t>Sachin Ramesh Tendulkar</t>
  </si>
  <si>
    <t>Middle Name</t>
  </si>
  <si>
    <t>Atal Bihari Bajapyee</t>
  </si>
  <si>
    <t xml:space="preserve">Manohar </t>
  </si>
  <si>
    <r>
      <t>1</t>
    </r>
    <r>
      <rPr>
        <vertAlign val="superscript"/>
        <sz val="11"/>
        <color theme="1"/>
        <rFont val="Calibri"/>
        <family val="2"/>
        <scheme val="minor"/>
      </rPr>
      <t>st</t>
    </r>
    <r>
      <rPr>
        <sz val="11"/>
        <color theme="1"/>
        <rFont val="Calibri"/>
        <family val="2"/>
        <scheme val="minor"/>
      </rPr>
      <t xml:space="preserve"> way</t>
    </r>
  </si>
  <si>
    <t>Mid(First Name)</t>
  </si>
  <si>
    <t>Prakash Joshi</t>
  </si>
  <si>
    <t xml:space="preserve"> =FIND(" ",A22,FIND(" ",A22)+1)-FIND(" ",A22))</t>
  </si>
  <si>
    <t>Mukesh Gupta</t>
  </si>
  <si>
    <t>Raja Ram Mohan Roy</t>
  </si>
  <si>
    <t>APG Abdul Kalam Azad</t>
  </si>
  <si>
    <t>Next class</t>
  </si>
  <si>
    <t xml:space="preserve">Murli </t>
  </si>
  <si>
    <t xml:space="preserve"> =TRIM(MID(SUBSTITUTE(" "&amp;A45," ",REPT(" ",255)),1*255,255))</t>
  </si>
  <si>
    <t>start From</t>
  </si>
  <si>
    <t>Text Length</t>
  </si>
  <si>
    <t>Akhilesh Kumar Yadav</t>
  </si>
  <si>
    <t>Mata Prashad</t>
  </si>
  <si>
    <t>Abdul Pakir Jainul Abedin Abdul Kalam Azad</t>
  </si>
  <si>
    <t xml:space="preserve"> =RIGHT(A59,LEN(A59)-FIND("*",SUBSTITUTE(A59," ","*",LEN(A59)-LEN(SUBSTITUTE(A59," ","")))))</t>
  </si>
  <si>
    <t>MM Joshi</t>
  </si>
  <si>
    <t>LP Yadav</t>
  </si>
  <si>
    <t>RR Singh</t>
  </si>
  <si>
    <t>SR Tendulkar</t>
  </si>
  <si>
    <t>AB Bajpayee</t>
  </si>
  <si>
    <t>Output</t>
  </si>
  <si>
    <t>Prakash22330</t>
  </si>
  <si>
    <t>Mohit43436</t>
  </si>
  <si>
    <t>Punit13345</t>
  </si>
  <si>
    <t>Raju64543</t>
  </si>
  <si>
    <t>Sanjeet45345</t>
  </si>
  <si>
    <t>Kamal63443</t>
  </si>
  <si>
    <t>Paramjeet64657</t>
  </si>
  <si>
    <t>Emp Name</t>
  </si>
  <si>
    <t>12345Rohit Agrawal</t>
  </si>
  <si>
    <t>Mukesh35325Kumar</t>
  </si>
  <si>
    <t>46443Satish Suryavansi</t>
  </si>
  <si>
    <t>Varun64353mallick</t>
  </si>
  <si>
    <t>Raj123</t>
  </si>
  <si>
    <t>Vikas Kumar 223309876</t>
  </si>
  <si>
    <t>Punit(13345)</t>
  </si>
  <si>
    <t>Raju(64543)</t>
  </si>
  <si>
    <t>Sanjeet(45345)</t>
  </si>
  <si>
    <t>Kamal(63443)</t>
  </si>
  <si>
    <t>Paramjeet(64657)</t>
  </si>
  <si>
    <t>Exl</t>
  </si>
  <si>
    <t>Mohit(434363)</t>
  </si>
  <si>
    <t>Prakash(22330434)srivastava</t>
  </si>
  <si>
    <t>Name</t>
  </si>
  <si>
    <t>RajibKumarPanda</t>
  </si>
  <si>
    <t>RKAgarwal</t>
  </si>
  <si>
    <t>SankarChakraborty</t>
  </si>
  <si>
    <t>AnukulSamanta</t>
  </si>
  <si>
    <t>DipankarBanerjee</t>
  </si>
  <si>
    <t>JayBagish</t>
  </si>
  <si>
    <t>AtanuKar</t>
  </si>
  <si>
    <t>NawaidIqbal</t>
  </si>
  <si>
    <t>UpdamBatachariya</t>
  </si>
  <si>
    <t>HemantMohumta</t>
  </si>
  <si>
    <t>AjitKrSinha</t>
  </si>
  <si>
    <t>AjitKumarSinha</t>
  </si>
  <si>
    <t>SukhmayKumar</t>
  </si>
  <si>
    <t>NevilleNathaniel</t>
  </si>
  <si>
    <t>SupriyoChatterjee</t>
  </si>
  <si>
    <t>AshokDasGupta</t>
  </si>
  <si>
    <t>UBhattacharya</t>
  </si>
  <si>
    <t>KaushikDas</t>
  </si>
  <si>
    <t>PranabDas</t>
  </si>
  <si>
    <t>SandeepMitra</t>
  </si>
  <si>
    <t>JKBhattacharya</t>
  </si>
  <si>
    <t>SunilSaha</t>
  </si>
  <si>
    <t>DipankarTalukdar</t>
  </si>
  <si>
    <t>PKMukherjee</t>
  </si>
  <si>
    <t>AKBhattacharya</t>
  </si>
  <si>
    <t>PrasoonSaha</t>
  </si>
  <si>
    <t>BimanGhosh</t>
  </si>
  <si>
    <t>SanjoyMukherjee</t>
  </si>
  <si>
    <t>AbaneetaChakravarty</t>
  </si>
  <si>
    <t>RajendraKalur</t>
  </si>
  <si>
    <t>SahajahanChakravarty</t>
  </si>
  <si>
    <t>SoumitraSen</t>
  </si>
  <si>
    <t>SovonjitDey</t>
  </si>
  <si>
    <t>JoydepThokurta</t>
  </si>
  <si>
    <t>ArindamBiswas</t>
  </si>
  <si>
    <t>SougataRoy</t>
  </si>
  <si>
    <t>VivekAgnihotri</t>
  </si>
  <si>
    <t>SoumyaGhosh</t>
  </si>
  <si>
    <t>SubhashishAddy</t>
  </si>
  <si>
    <t>ProsenjitRoy</t>
  </si>
  <si>
    <t>BishwajeetShah</t>
  </si>
  <si>
    <t>RSDutta</t>
  </si>
  <si>
    <t>RobinNandi</t>
  </si>
  <si>
    <t>RakeshSharma</t>
  </si>
  <si>
    <t>RabinNandi</t>
  </si>
  <si>
    <t>AmbarBagcish</t>
  </si>
  <si>
    <t>AnnopMukherjee</t>
  </si>
  <si>
    <t>RSKundo</t>
  </si>
  <si>
    <t>DwijenGupta</t>
  </si>
  <si>
    <t>TKBehara</t>
  </si>
  <si>
    <t>MinikGoswamy</t>
  </si>
  <si>
    <t>SumitKumar</t>
  </si>
  <si>
    <t>EJohnyValan</t>
  </si>
  <si>
    <t>SanjeevBolia</t>
  </si>
  <si>
    <t>SubrataChatterjee</t>
  </si>
  <si>
    <t>RashimKajaria</t>
  </si>
  <si>
    <t>RMSingh</t>
  </si>
  <si>
    <t>DeepaBasu</t>
  </si>
  <si>
    <t>MNPaul</t>
  </si>
  <si>
    <t>AbhijitChowdhary</t>
  </si>
  <si>
    <t>PuditChakraVarti</t>
  </si>
  <si>
    <t>GepjaniDasGupta</t>
  </si>
  <si>
    <t>RakhiMukerjee</t>
  </si>
  <si>
    <t>SandipSengupta</t>
  </si>
  <si>
    <t>RajeshGokhae</t>
  </si>
  <si>
    <t>RameshChandani</t>
  </si>
  <si>
    <t>KoushikSengupta</t>
  </si>
  <si>
    <t>SudheshnaGhosh</t>
  </si>
  <si>
    <t>Answer</t>
  </si>
  <si>
    <t>aakash</t>
  </si>
  <si>
    <t>ankit</t>
  </si>
  <si>
    <t>pawan</t>
  </si>
  <si>
    <t>password</t>
  </si>
  <si>
    <t>Banana</t>
  </si>
  <si>
    <t>Input</t>
  </si>
  <si>
    <t>Required Output</t>
  </si>
  <si>
    <t xml:space="preserve"> Staying Alive Restaurant Bar $ ABC</t>
  </si>
  <si>
    <t xml:space="preserve"> Staying Alive Restaurant Bar</t>
  </si>
  <si>
    <t xml:space="preserve"> Organia Café@ABC</t>
  </si>
  <si>
    <t xml:space="preserve"> Organia Cafe</t>
  </si>
  <si>
    <t xml:space="preserve"> Lemon Tree Hotel, EDM Mall</t>
  </si>
  <si>
    <t xml:space="preserve"> Lemon Tree Hotel</t>
  </si>
  <si>
    <t xml:space="preserve"> Sesame</t>
  </si>
  <si>
    <t xml:space="preserve"> August Spice</t>
  </si>
  <si>
    <t xml:space="preserve"> Clarens Hotel-Lorenzo</t>
  </si>
  <si>
    <t xml:space="preserve"> Clarens Hotel</t>
  </si>
  <si>
    <t xml:space="preserve"> Diesel D Café</t>
  </si>
  <si>
    <t xml:space="preserve"> Melange World Cuisine Restaurant - The Pllazio Hotel. Also Get 2 Soft Beverages!</t>
  </si>
  <si>
    <t xml:space="preserve"> Melange World Cuisine Restaurant</t>
  </si>
  <si>
    <t xml:space="preserve"> The Scruples Bar-The Pllazio Hotel</t>
  </si>
  <si>
    <t xml:space="preserve"> The Scruples Bar</t>
  </si>
  <si>
    <t xml:space="preserve"> Dc9 Gola Sizzler.- Includes Sizzler, Beverages &amp; MORE</t>
  </si>
  <si>
    <t xml:space="preserve"> Dc9 Gola Sizzler</t>
  </si>
  <si>
    <t xml:space="preserve"> Chonas</t>
  </si>
  <si>
    <t>a</t>
  </si>
  <si>
    <t>abhilashpratapsingh@gmail.com</t>
  </si>
  <si>
    <t xml:space="preserve"> Staying Alive Restaurant Bar </t>
  </si>
  <si>
    <t xml:space="preserve"> Organia Café</t>
  </si>
  <si>
    <t xml:space="preserve"> Melange World Cuisine Restaurant </t>
  </si>
  <si>
    <t xml:space="preserve"> Dc9 Gola Sizzler.</t>
  </si>
  <si>
    <t>Swajit</t>
  </si>
  <si>
    <t>Panda</t>
  </si>
  <si>
    <t>Agarwal</t>
  </si>
  <si>
    <t>Sankar</t>
  </si>
  <si>
    <t>Chakraborty</t>
  </si>
  <si>
    <t>Anukul</t>
  </si>
  <si>
    <t>Samanta</t>
  </si>
  <si>
    <t>Dipankar</t>
  </si>
  <si>
    <t>Banerjee</t>
  </si>
  <si>
    <t>Jay</t>
  </si>
  <si>
    <t>Bagish</t>
  </si>
  <si>
    <t>Atanu</t>
  </si>
  <si>
    <t>Kar</t>
  </si>
  <si>
    <t>Nawaid</t>
  </si>
  <si>
    <t>Iqbal</t>
  </si>
  <si>
    <t>Updam</t>
  </si>
  <si>
    <t>Batachariya</t>
  </si>
  <si>
    <t>Hemant</t>
  </si>
  <si>
    <t>Mohumta</t>
  </si>
  <si>
    <t>Sinha</t>
  </si>
  <si>
    <t>Singh</t>
  </si>
  <si>
    <t>kakkey</t>
  </si>
  <si>
    <t>Kumar</t>
  </si>
  <si>
    <t>Rajib</t>
  </si>
  <si>
    <t>R</t>
  </si>
  <si>
    <t>K</t>
  </si>
  <si>
    <t>Behara</t>
  </si>
  <si>
    <t>U</t>
  </si>
  <si>
    <t>Bhattacharya</t>
  </si>
  <si>
    <t>J</t>
  </si>
  <si>
    <t>Ajit</t>
  </si>
  <si>
    <t>Kr</t>
  </si>
  <si>
    <t>Sukhmay</t>
  </si>
  <si>
    <t>SwajitSui</t>
  </si>
  <si>
    <t>Sui</t>
  </si>
  <si>
    <t>Neville</t>
  </si>
  <si>
    <t>Nathaniel</t>
  </si>
  <si>
    <t>Supriyo</t>
  </si>
  <si>
    <t>Chatterjee</t>
  </si>
  <si>
    <t>Ashok</t>
  </si>
  <si>
    <t>Das</t>
  </si>
  <si>
    <t>Gupta</t>
  </si>
  <si>
    <t>Kaushik</t>
  </si>
  <si>
    <t>Pranab</t>
  </si>
  <si>
    <t>Sandeep</t>
  </si>
  <si>
    <t>Mitra</t>
  </si>
  <si>
    <t>Saha</t>
  </si>
  <si>
    <t>Talukdar</t>
  </si>
  <si>
    <t>P</t>
  </si>
  <si>
    <t>Mukherjee</t>
  </si>
  <si>
    <t>A</t>
  </si>
  <si>
    <t>Prasoon</t>
  </si>
  <si>
    <t>Biman</t>
  </si>
  <si>
    <t>Ghosh</t>
  </si>
  <si>
    <t>Sanjoy</t>
  </si>
  <si>
    <t>Abaneeta</t>
  </si>
  <si>
    <t>Chakravarty</t>
  </si>
  <si>
    <t>Rajendra</t>
  </si>
  <si>
    <t>Kalur</t>
  </si>
  <si>
    <t>Sahajahan</t>
  </si>
  <si>
    <t>Soumitra</t>
  </si>
  <si>
    <t>Sen</t>
  </si>
  <si>
    <t>Sovonjit</t>
  </si>
  <si>
    <t>Dey</t>
  </si>
  <si>
    <t>Joydep</t>
  </si>
  <si>
    <t>Thokurta</t>
  </si>
  <si>
    <t>Arindam</t>
  </si>
  <si>
    <t>Biswas</t>
  </si>
  <si>
    <t>Sougata</t>
  </si>
  <si>
    <t>Roy</t>
  </si>
  <si>
    <t>Vivek</t>
  </si>
  <si>
    <t>Agnihotri</t>
  </si>
  <si>
    <t>Soumya</t>
  </si>
  <si>
    <t>Subhashish</t>
  </si>
  <si>
    <t>Addy</t>
  </si>
  <si>
    <t>Prosenjit</t>
  </si>
  <si>
    <t>Bishwajeet</t>
  </si>
  <si>
    <t>Shah</t>
  </si>
  <si>
    <t>S</t>
  </si>
  <si>
    <t>Dutta</t>
  </si>
  <si>
    <t>Robin</t>
  </si>
  <si>
    <t>Nandi</t>
  </si>
  <si>
    <t>Rakesh</t>
  </si>
  <si>
    <t>Sharma</t>
  </si>
  <si>
    <t>Rabin</t>
  </si>
  <si>
    <t>Ambar</t>
  </si>
  <si>
    <t>Bagcish</t>
  </si>
  <si>
    <t>Annop</t>
  </si>
  <si>
    <t>Kundo</t>
  </si>
  <si>
    <t>Dwijen</t>
  </si>
  <si>
    <t>Minik</t>
  </si>
  <si>
    <t>Goswamy</t>
  </si>
  <si>
    <t>Sumit</t>
  </si>
  <si>
    <t>E</t>
  </si>
  <si>
    <t>Johny</t>
  </si>
  <si>
    <t>Valan</t>
  </si>
  <si>
    <t>Sanjeev</t>
  </si>
  <si>
    <t>Bolia</t>
  </si>
  <si>
    <t>Subrata</t>
  </si>
  <si>
    <t>Rashim</t>
  </si>
  <si>
    <t>Kajaria</t>
  </si>
  <si>
    <t>M</t>
  </si>
  <si>
    <t>Deepa</t>
  </si>
  <si>
    <t>Basu</t>
  </si>
  <si>
    <t>Paul</t>
  </si>
  <si>
    <t>Abhijit</t>
  </si>
  <si>
    <t>Chowdhary</t>
  </si>
  <si>
    <t>Pudit</t>
  </si>
  <si>
    <t>Chakra</t>
  </si>
  <si>
    <t>Varti</t>
  </si>
  <si>
    <t>Gepjani</t>
  </si>
  <si>
    <t>Rakhi</t>
  </si>
  <si>
    <t>Mukerjee</t>
  </si>
  <si>
    <t>Sandip</t>
  </si>
  <si>
    <t>Sengupta</t>
  </si>
  <si>
    <t>Gokhae</t>
  </si>
  <si>
    <t>Ramesh</t>
  </si>
  <si>
    <t>Chandani</t>
  </si>
  <si>
    <t>Koushik</t>
  </si>
  <si>
    <t>Sudheshna</t>
  </si>
</sst>
</file>

<file path=xl/styles.xml><?xml version="1.0" encoding="utf-8"?>
<styleSheet xmlns="http://schemas.openxmlformats.org/spreadsheetml/2006/main">
  <numFmts count="2">
    <numFmt numFmtId="164" formatCode="[$रु-439]\ #,##0.00"/>
    <numFmt numFmtId="165" formatCode="[$INR]\ #,##0.00"/>
  </numFmts>
  <fonts count="15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theme="0"/>
      <name val="Calibri"/>
      <family val="2"/>
      <scheme val="minor"/>
    </font>
    <font>
      <sz val="11"/>
      <color theme="1"/>
      <name val="Stencil"/>
      <family val="5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indexed="9"/>
      <name val="Verdana"/>
      <family val="2"/>
    </font>
    <font>
      <sz val="9"/>
      <name val="Arial"/>
      <family val="2"/>
    </font>
    <font>
      <sz val="12"/>
      <name val="Times New Roman"/>
      <family val="1"/>
    </font>
    <font>
      <sz val="9"/>
      <name val="Verdana"/>
      <family val="2"/>
    </font>
    <font>
      <sz val="10"/>
      <name val="Verdana"/>
      <family val="2"/>
    </font>
    <font>
      <sz val="10"/>
      <name val="MS Sans Serif"/>
      <family val="2"/>
    </font>
    <font>
      <sz val="10"/>
      <name val="Helv"/>
      <charset val="204"/>
    </font>
    <font>
      <u/>
      <sz val="11"/>
      <color theme="1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8">
    <xf numFmtId="0" fontId="0" fillId="0" borderId="0"/>
    <xf numFmtId="0" fontId="1" fillId="0" borderId="0" applyNumberFormat="0" applyFill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9" fillId="0" borderId="0" applyNumberFormat="0" applyFill="0" applyBorder="0" applyAlignment="0" applyProtection="0"/>
    <xf numFmtId="0" fontId="12" fillId="0" borderId="0"/>
    <xf numFmtId="0" fontId="13" fillId="0" borderId="0"/>
    <xf numFmtId="0" fontId="14" fillId="0" borderId="0" applyNumberFormat="0" applyFill="0" applyBorder="0" applyAlignment="0" applyProtection="0">
      <alignment vertical="top"/>
      <protection locked="0"/>
    </xf>
  </cellStyleXfs>
  <cellXfs count="53">
    <xf numFmtId="0" fontId="0" fillId="0" borderId="0" xfId="0"/>
    <xf numFmtId="0" fontId="0" fillId="0" borderId="0" xfId="0" applyAlignment="1">
      <alignment horizontal="center"/>
    </xf>
    <xf numFmtId="0" fontId="2" fillId="2" borderId="9" xfId="2" applyBorder="1"/>
    <xf numFmtId="0" fontId="0" fillId="0" borderId="9" xfId="0" applyBorder="1"/>
    <xf numFmtId="0" fontId="0" fillId="0" borderId="9" xfId="0" applyBorder="1" applyAlignment="1">
      <alignment horizontal="center"/>
    </xf>
    <xf numFmtId="164" fontId="0" fillId="0" borderId="9" xfId="0" applyNumberFormat="1" applyBorder="1"/>
    <xf numFmtId="165" fontId="0" fillId="0" borderId="9" xfId="0" applyNumberFormat="1" applyBorder="1"/>
    <xf numFmtId="0" fontId="0" fillId="0" borderId="0" xfId="0" applyFill="1" applyBorder="1"/>
    <xf numFmtId="0" fontId="2" fillId="3" borderId="0" xfId="3"/>
    <xf numFmtId="14" fontId="0" fillId="0" borderId="0" xfId="0" applyNumberFormat="1"/>
    <xf numFmtId="14" fontId="0" fillId="0" borderId="9" xfId="0" applyNumberFormat="1" applyBorder="1"/>
    <xf numFmtId="0" fontId="3" fillId="0" borderId="9" xfId="0" applyFont="1" applyBorder="1"/>
    <xf numFmtId="9" fontId="0" fillId="0" borderId="0" xfId="0" applyNumberFormat="1"/>
    <xf numFmtId="0" fontId="0" fillId="0" borderId="0" xfId="0" quotePrefix="1"/>
    <xf numFmtId="15" fontId="0" fillId="0" borderId="0" xfId="0" applyNumberFormat="1"/>
    <xf numFmtId="0" fontId="0" fillId="4" borderId="9" xfId="0" applyFill="1" applyBorder="1"/>
    <xf numFmtId="0" fontId="0" fillId="4" borderId="0" xfId="0" applyFill="1"/>
    <xf numFmtId="0" fontId="6" fillId="0" borderId="9" xfId="0" applyFont="1" applyBorder="1"/>
    <xf numFmtId="0" fontId="5" fillId="5" borderId="0" xfId="0" applyFont="1" applyFill="1"/>
    <xf numFmtId="0" fontId="0" fillId="6" borderId="0" xfId="0" applyFill="1"/>
    <xf numFmtId="49" fontId="7" fillId="7" borderId="9" xfId="0" applyNumberFormat="1" applyFont="1" applyFill="1" applyBorder="1" applyAlignment="1">
      <alignment horizontal="left"/>
    </xf>
    <xf numFmtId="0" fontId="8" fillId="0" borderId="9" xfId="0" applyFont="1" applyFill="1" applyBorder="1"/>
    <xf numFmtId="0" fontId="8" fillId="0" borderId="9" xfId="0" applyFont="1" applyFill="1" applyBorder="1" applyAlignment="1">
      <alignment horizontal="left"/>
    </xf>
    <xf numFmtId="0" fontId="10" fillId="0" borderId="9" xfId="4" applyFont="1" applyFill="1" applyBorder="1" applyAlignment="1">
      <alignment horizontal="left"/>
    </xf>
    <xf numFmtId="0" fontId="11" fillId="0" borderId="9" xfId="4" applyNumberFormat="1" applyFont="1" applyFill="1" applyBorder="1" applyAlignment="1"/>
    <xf numFmtId="0" fontId="11" fillId="0" borderId="9" xfId="0" applyFont="1" applyFill="1" applyBorder="1" applyAlignment="1">
      <alignment horizontal="left"/>
    </xf>
    <xf numFmtId="0" fontId="0" fillId="0" borderId="9" xfId="0" applyNumberFormat="1" applyBorder="1"/>
    <xf numFmtId="0" fontId="8" fillId="0" borderId="9" xfId="4" applyFont="1" applyFill="1" applyBorder="1" applyAlignment="1">
      <alignment horizontal="left"/>
    </xf>
    <xf numFmtId="0" fontId="11" fillId="0" borderId="9" xfId="0" applyFont="1" applyBorder="1" applyAlignment="1">
      <alignment horizontal="left"/>
    </xf>
    <xf numFmtId="0" fontId="8" fillId="0" borderId="9" xfId="5" quotePrefix="1" applyFont="1" applyFill="1" applyBorder="1" applyAlignment="1">
      <alignment horizontal="left"/>
    </xf>
    <xf numFmtId="0" fontId="11" fillId="0" borderId="9" xfId="6" applyNumberFormat="1" applyFont="1" applyBorder="1" applyAlignment="1">
      <alignment horizontal="left"/>
    </xf>
    <xf numFmtId="0" fontId="0" fillId="0" borderId="9" xfId="0" applyBorder="1" applyAlignment="1">
      <alignment horizontal="left" vertical="top" wrapText="1"/>
    </xf>
    <xf numFmtId="0" fontId="0" fillId="8" borderId="10" xfId="0" applyFill="1" applyBorder="1"/>
    <xf numFmtId="0" fontId="1" fillId="0" borderId="1" xfId="1" applyBorder="1" applyAlignment="1">
      <alignment horizontal="center" vertical="center"/>
    </xf>
    <xf numFmtId="0" fontId="1" fillId="0" borderId="2" xfId="1" applyBorder="1" applyAlignment="1">
      <alignment horizontal="center" vertical="center"/>
    </xf>
    <xf numFmtId="0" fontId="1" fillId="0" borderId="3" xfId="1" applyBorder="1" applyAlignment="1">
      <alignment horizontal="center" vertical="center"/>
    </xf>
    <xf numFmtId="0" fontId="1" fillId="0" borderId="4" xfId="1" applyBorder="1" applyAlignment="1">
      <alignment horizontal="center" vertical="center"/>
    </xf>
    <xf numFmtId="0" fontId="1" fillId="0" borderId="0" xfId="1" applyBorder="1" applyAlignment="1">
      <alignment horizontal="center" vertical="center"/>
    </xf>
    <xf numFmtId="0" fontId="1" fillId="0" borderId="5" xfId="1" applyBorder="1" applyAlignment="1">
      <alignment horizontal="center" vertical="center"/>
    </xf>
    <xf numFmtId="0" fontId="1" fillId="0" borderId="6" xfId="1" applyBorder="1" applyAlignment="1">
      <alignment horizontal="center" vertical="center"/>
    </xf>
    <xf numFmtId="0" fontId="1" fillId="0" borderId="7" xfId="1" applyBorder="1" applyAlignment="1">
      <alignment horizontal="center" vertical="center"/>
    </xf>
    <xf numFmtId="0" fontId="1" fillId="0" borderId="8" xfId="1" applyBorder="1" applyAlignment="1">
      <alignment horizontal="center" vertical="center"/>
    </xf>
    <xf numFmtId="0" fontId="14" fillId="0" borderId="0" xfId="7" applyAlignment="1" applyProtection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10" fillId="0" borderId="0" xfId="4" applyFont="1" applyFill="1" applyBorder="1" applyAlignment="1">
      <alignment horizontal="left"/>
    </xf>
    <xf numFmtId="0" fontId="11" fillId="0" borderId="0" xfId="4" applyNumberFormat="1" applyFont="1" applyFill="1" applyBorder="1" applyAlignment="1"/>
    <xf numFmtId="0" fontId="11" fillId="0" borderId="0" xfId="0" applyFont="1" applyFill="1" applyBorder="1" applyAlignment="1">
      <alignment horizontal="left"/>
    </xf>
    <xf numFmtId="0" fontId="0" fillId="0" borderId="0" xfId="0" applyNumberFormat="1" applyBorder="1"/>
    <xf numFmtId="0" fontId="8" fillId="0" borderId="0" xfId="4" applyFont="1" applyFill="1" applyBorder="1" applyAlignment="1">
      <alignment horizontal="left"/>
    </xf>
    <xf numFmtId="0" fontId="11" fillId="0" borderId="0" xfId="0" applyFont="1" applyBorder="1" applyAlignment="1">
      <alignment horizontal="left"/>
    </xf>
    <xf numFmtId="0" fontId="8" fillId="0" borderId="0" xfId="5" applyFont="1" applyFill="1" applyBorder="1" applyAlignment="1">
      <alignment horizontal="left"/>
    </xf>
    <xf numFmtId="0" fontId="11" fillId="0" borderId="0" xfId="6" applyNumberFormat="1" applyFont="1" applyBorder="1" applyAlignment="1">
      <alignment horizontal="left"/>
    </xf>
  </cellXfs>
  <cellStyles count="8">
    <cellStyle name="=C:\WINNT\SYSTEM32\COMMAND.COM" xfId="4"/>
    <cellStyle name="Accent1" xfId="2" builtinId="29"/>
    <cellStyle name="Accent4" xfId="3" builtinId="41"/>
    <cellStyle name="Hyperlink" xfId="7" builtinId="8"/>
    <cellStyle name="Normal" xfId="0" builtinId="0"/>
    <cellStyle name="Normal_Sheet1_3" xfId="5"/>
    <cellStyle name="Style 1" xfId="6"/>
    <cellStyle name="Title" xfId="1" builtinId="1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806561</xdr:colOff>
      <xdr:row>46</xdr:row>
      <xdr:rowOff>162651</xdr:rowOff>
    </xdr:from>
    <xdr:to>
      <xdr:col>4</xdr:col>
      <xdr:colOff>360946</xdr:colOff>
      <xdr:row>49</xdr:row>
      <xdr:rowOff>80212</xdr:rowOff>
    </xdr:to>
    <xdr:sp macro="" textlink="">
      <xdr:nvSpPr>
        <xdr:cNvPr id="2" name="Right Brace 1"/>
        <xdr:cNvSpPr/>
      </xdr:nvSpPr>
      <xdr:spPr>
        <a:xfrm rot="5400000">
          <a:off x="3111499" y="7785993"/>
          <a:ext cx="465667" cy="2072105"/>
        </a:xfrm>
        <a:prstGeom prst="rightBrac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5</xdr:col>
      <xdr:colOff>13368</xdr:colOff>
      <xdr:row>46</xdr:row>
      <xdr:rowOff>111404</xdr:rowOff>
    </xdr:from>
    <xdr:to>
      <xdr:col>5</xdr:col>
      <xdr:colOff>44561</xdr:colOff>
      <xdr:row>50</xdr:row>
      <xdr:rowOff>178246</xdr:rowOff>
    </xdr:to>
    <xdr:cxnSp macro="">
      <xdr:nvCxnSpPr>
        <xdr:cNvPr id="4" name="Straight Arrow Connector 3"/>
        <xdr:cNvCxnSpPr/>
      </xdr:nvCxnSpPr>
      <xdr:spPr>
        <a:xfrm>
          <a:off x="4643298" y="8537965"/>
          <a:ext cx="31193" cy="79764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583754</xdr:colOff>
      <xdr:row>46</xdr:row>
      <xdr:rowOff>93579</xdr:rowOff>
    </xdr:from>
    <xdr:to>
      <xdr:col>5</xdr:col>
      <xdr:colOff>329754</xdr:colOff>
      <xdr:row>51</xdr:row>
      <xdr:rowOff>155965</xdr:rowOff>
    </xdr:to>
    <xdr:cxnSp macro="">
      <xdr:nvCxnSpPr>
        <xdr:cNvPr id="6" name="Straight Arrow Connector 5"/>
        <xdr:cNvCxnSpPr/>
      </xdr:nvCxnSpPr>
      <xdr:spPr>
        <a:xfrm flipH="1">
          <a:off x="3221789" y="8520140"/>
          <a:ext cx="1737895" cy="97589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499088</xdr:colOff>
      <xdr:row>67</xdr:row>
      <xdr:rowOff>151512</xdr:rowOff>
    </xdr:from>
    <xdr:to>
      <xdr:col>0</xdr:col>
      <xdr:colOff>704070</xdr:colOff>
      <xdr:row>71</xdr:row>
      <xdr:rowOff>120317</xdr:rowOff>
    </xdr:to>
    <xdr:sp macro="" textlink="">
      <xdr:nvSpPr>
        <xdr:cNvPr id="7" name="Right Brace 6"/>
        <xdr:cNvSpPr/>
      </xdr:nvSpPr>
      <xdr:spPr>
        <a:xfrm rot="5400000">
          <a:off x="251773" y="12662125"/>
          <a:ext cx="699612" cy="20498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89123</xdr:colOff>
      <xdr:row>71</xdr:row>
      <xdr:rowOff>106948</xdr:rowOff>
    </xdr:from>
    <xdr:to>
      <xdr:col>0</xdr:col>
      <xdr:colOff>989263</xdr:colOff>
      <xdr:row>73</xdr:row>
      <xdr:rowOff>120316</xdr:rowOff>
    </xdr:to>
    <xdr:sp macro="" textlink="">
      <xdr:nvSpPr>
        <xdr:cNvPr id="8" name="Oval 7"/>
        <xdr:cNvSpPr/>
      </xdr:nvSpPr>
      <xdr:spPr>
        <a:xfrm>
          <a:off x="89123" y="13101053"/>
          <a:ext cx="900140" cy="378772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/>
            <a:t>Range</a:t>
          </a:r>
        </a:p>
      </xdr:txBody>
    </xdr:sp>
    <xdr:clientData/>
  </xdr:twoCellAnchor>
  <xdr:twoCellAnchor>
    <xdr:from>
      <xdr:col>0</xdr:col>
      <xdr:colOff>837755</xdr:colOff>
      <xdr:row>67</xdr:row>
      <xdr:rowOff>155965</xdr:rowOff>
    </xdr:from>
    <xdr:to>
      <xdr:col>5</xdr:col>
      <xdr:colOff>40105</xdr:colOff>
      <xdr:row>73</xdr:row>
      <xdr:rowOff>138140</xdr:rowOff>
    </xdr:to>
    <xdr:sp macro="" textlink="">
      <xdr:nvSpPr>
        <xdr:cNvPr id="9" name="Right Brace 8"/>
        <xdr:cNvSpPr/>
      </xdr:nvSpPr>
      <xdr:spPr>
        <a:xfrm rot="5400000">
          <a:off x="2537772" y="10719246"/>
          <a:ext cx="1078386" cy="447842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343123</xdr:colOff>
      <xdr:row>73</xdr:row>
      <xdr:rowOff>133685</xdr:rowOff>
    </xdr:from>
    <xdr:to>
      <xdr:col>2</xdr:col>
      <xdr:colOff>106948</xdr:colOff>
      <xdr:row>75</xdr:row>
      <xdr:rowOff>147054</xdr:rowOff>
    </xdr:to>
    <xdr:sp macro="" textlink="">
      <xdr:nvSpPr>
        <xdr:cNvPr id="10" name="Oval 9"/>
        <xdr:cNvSpPr/>
      </xdr:nvSpPr>
      <xdr:spPr>
        <a:xfrm>
          <a:off x="2490983" y="13493194"/>
          <a:ext cx="900140" cy="378772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/>
            <a:t>Length</a:t>
          </a:r>
        </a:p>
      </xdr:txBody>
    </xdr:sp>
    <xdr:clientData/>
  </xdr:twoCellAnchor>
  <xdr:twoCellAnchor editAs="oneCell">
    <xdr:from>
      <xdr:col>2</xdr:col>
      <xdr:colOff>748632</xdr:colOff>
      <xdr:row>92</xdr:row>
      <xdr:rowOff>35650</xdr:rowOff>
    </xdr:from>
    <xdr:to>
      <xdr:col>5</xdr:col>
      <xdr:colOff>581933</xdr:colOff>
      <xdr:row>101</xdr:row>
      <xdr:rowOff>142598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32807" y="16866492"/>
          <a:ext cx="3799266" cy="175126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</xdr:col>
      <xdr:colOff>619403</xdr:colOff>
      <xdr:row>83</xdr:row>
      <xdr:rowOff>147054</xdr:rowOff>
    </xdr:from>
    <xdr:to>
      <xdr:col>12</xdr:col>
      <xdr:colOff>141703</xdr:colOff>
      <xdr:row>92</xdr:row>
      <xdr:rowOff>44562</xdr:rowOff>
    </xdr:to>
    <xdr:pic>
      <xdr:nvPicPr>
        <xdr:cNvPr id="12" name="Picture 11"/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869543" y="15333580"/>
          <a:ext cx="4165598" cy="15418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641684</xdr:colOff>
      <xdr:row>92</xdr:row>
      <xdr:rowOff>66842</xdr:rowOff>
    </xdr:from>
    <xdr:to>
      <xdr:col>12</xdr:col>
      <xdr:colOff>587319</xdr:colOff>
      <xdr:row>103</xdr:row>
      <xdr:rowOff>146332</xdr:rowOff>
    </xdr:to>
    <xdr:pic>
      <xdr:nvPicPr>
        <xdr:cNvPr id="13" name="Picture 12"/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891824" y="16897684"/>
          <a:ext cx="4588933" cy="208920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abhilashpratapsingh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256"/>
  <sheetViews>
    <sheetView tabSelected="1" topLeftCell="D1" zoomScale="177" zoomScaleNormal="177" workbookViewId="0">
      <selection activeCell="D2" sqref="D2:I4"/>
    </sheetView>
  </sheetViews>
  <sheetFormatPr defaultRowHeight="15"/>
  <cols>
    <col min="1" max="1" width="8.85546875" customWidth="1"/>
    <col min="2" max="2" width="8" customWidth="1"/>
    <col min="4" max="4" width="14.140625" customWidth="1"/>
    <col min="5" max="5" width="34.28515625" customWidth="1"/>
    <col min="6" max="6" width="14.42578125" bestFit="1" customWidth="1"/>
    <col min="7" max="7" width="21.28515625" bestFit="1" customWidth="1"/>
  </cols>
  <sheetData>
    <row r="1" spans="1:9" ht="15.75" thickBot="1">
      <c r="A1" t="s">
        <v>8</v>
      </c>
    </row>
    <row r="2" spans="1:9">
      <c r="A2">
        <v>1</v>
      </c>
      <c r="B2" t="str">
        <f>CHAR(A2)</f>
        <v>_x0001_</v>
      </c>
      <c r="D2" s="33" t="s">
        <v>0</v>
      </c>
      <c r="E2" s="34"/>
      <c r="F2" s="34"/>
      <c r="G2" s="34"/>
      <c r="H2" s="34"/>
      <c r="I2" s="35"/>
    </row>
    <row r="3" spans="1:9">
      <c r="A3">
        <v>2</v>
      </c>
      <c r="B3" t="str">
        <f t="shared" ref="B3:B66" si="0">CHAR(A3)</f>
        <v>_x0002_</v>
      </c>
      <c r="D3" s="36"/>
      <c r="E3" s="37"/>
      <c r="F3" s="37"/>
      <c r="G3" s="37"/>
      <c r="H3" s="37"/>
      <c r="I3" s="38"/>
    </row>
    <row r="4" spans="1:9" ht="15.75" thickBot="1">
      <c r="A4">
        <v>3</v>
      </c>
      <c r="B4" t="str">
        <f t="shared" si="0"/>
        <v>_x0003_</v>
      </c>
      <c r="D4" s="39"/>
      <c r="E4" s="40"/>
      <c r="F4" s="40"/>
      <c r="G4" s="40"/>
      <c r="H4" s="40"/>
      <c r="I4" s="41"/>
    </row>
    <row r="5" spans="1:9">
      <c r="A5">
        <v>4</v>
      </c>
      <c r="B5" t="str">
        <f t="shared" si="0"/>
        <v>_x0004_</v>
      </c>
    </row>
    <row r="6" spans="1:9">
      <c r="A6">
        <v>5</v>
      </c>
      <c r="B6" t="str">
        <f t="shared" si="0"/>
        <v>_x0005_</v>
      </c>
      <c r="D6" t="s">
        <v>8</v>
      </c>
      <c r="E6" t="s">
        <v>9</v>
      </c>
    </row>
    <row r="7" spans="1:9">
      <c r="A7">
        <v>6</v>
      </c>
      <c r="B7" t="str">
        <f t="shared" si="0"/>
        <v>_x0006_</v>
      </c>
      <c r="I7" t="str">
        <f>CHAR(10)</f>
        <v xml:space="preserve">
</v>
      </c>
    </row>
    <row r="8" spans="1:9">
      <c r="A8">
        <v>7</v>
      </c>
      <c r="B8" t="str">
        <f t="shared" si="0"/>
        <v>_x0007_</v>
      </c>
      <c r="D8" s="2" t="s">
        <v>1</v>
      </c>
      <c r="E8" s="2" t="s">
        <v>2</v>
      </c>
      <c r="F8" s="2" t="s">
        <v>4</v>
      </c>
      <c r="G8" s="2" t="s">
        <v>3</v>
      </c>
    </row>
    <row r="9" spans="1:9">
      <c r="A9">
        <v>8</v>
      </c>
      <c r="B9" t="str">
        <f t="shared" si="0"/>
        <v>_x0008_</v>
      </c>
      <c r="D9" s="3" t="s">
        <v>5</v>
      </c>
      <c r="E9" s="3" t="str">
        <f>BAHTTEXT(F9)</f>
        <v>หนึ่งหมื่นสองพันสามร้อยสี่สิบห้าบาทถ้วน</v>
      </c>
      <c r="F9" s="4">
        <v>12345</v>
      </c>
      <c r="G9" s="3" t="s">
        <v>6</v>
      </c>
    </row>
    <row r="10" spans="1:9">
      <c r="A10">
        <v>9</v>
      </c>
      <c r="B10" t="str">
        <f t="shared" si="0"/>
        <v xml:space="preserve">	</v>
      </c>
      <c r="D10" s="3" t="s">
        <v>7</v>
      </c>
      <c r="E10" s="3" t="str">
        <f>CHAR(F10)</f>
        <v>L</v>
      </c>
      <c r="F10" s="3">
        <v>76</v>
      </c>
      <c r="G10" s="3" t="s">
        <v>10</v>
      </c>
    </row>
    <row r="11" spans="1:9">
      <c r="A11">
        <v>10</v>
      </c>
      <c r="B11" t="str">
        <f t="shared" si="0"/>
        <v xml:space="preserve">
</v>
      </c>
      <c r="D11" s="3" t="s">
        <v>11</v>
      </c>
      <c r="E11" s="3">
        <f>CODE(F11)</f>
        <v>76</v>
      </c>
      <c r="F11" s="3" t="s">
        <v>12</v>
      </c>
      <c r="G11" s="3" t="s">
        <v>13</v>
      </c>
    </row>
    <row r="12" spans="1:9">
      <c r="A12">
        <v>11</v>
      </c>
      <c r="B12" t="str">
        <f t="shared" si="0"/>
        <v>_x000B_</v>
      </c>
      <c r="D12" s="3" t="s">
        <v>14</v>
      </c>
      <c r="E12" s="3" t="str">
        <f>CLEAN(F12)</f>
        <v>Raj</v>
      </c>
      <c r="F12" s="3" t="str">
        <f>CHAR(12)&amp;"Raj"&amp;CHAR(12)</f>
        <v>_x000C_Raj_x000C_</v>
      </c>
      <c r="G12" s="3" t="s">
        <v>15</v>
      </c>
    </row>
    <row r="13" spans="1:9">
      <c r="A13">
        <v>12</v>
      </c>
      <c r="B13" t="str">
        <f t="shared" si="0"/>
        <v>_x000C_</v>
      </c>
      <c r="D13" s="3" t="s">
        <v>16</v>
      </c>
      <c r="E13" s="3" t="str">
        <f>CLEAN(TRIM(F13))</f>
        <v>Vikas Tiwari</v>
      </c>
      <c r="F13" s="3" t="str">
        <f>"    Vikas"&amp;CHAR(12)&amp;" Tiwari  "</f>
        <v xml:space="preserve">    Vikas_x000C_ Tiwari  </v>
      </c>
      <c r="G13" s="3" t="s">
        <v>17</v>
      </c>
    </row>
    <row r="14" spans="1:9">
      <c r="A14">
        <v>13</v>
      </c>
      <c r="B14" t="str">
        <f t="shared" si="0"/>
        <v>_x000D_</v>
      </c>
      <c r="D14" s="3" t="s">
        <v>18</v>
      </c>
      <c r="E14" s="3" t="s">
        <v>19</v>
      </c>
      <c r="F14" s="3" t="s">
        <v>20</v>
      </c>
      <c r="G14" s="3" t="s">
        <v>21</v>
      </c>
    </row>
    <row r="15" spans="1:9">
      <c r="A15">
        <v>14</v>
      </c>
      <c r="B15" t="str">
        <f t="shared" si="0"/>
        <v>_x000E_</v>
      </c>
      <c r="D15" s="3"/>
      <c r="E15" s="3" t="str">
        <f>CONCATENATE(E14," ",F14)</f>
        <v>Rajesh Garg</v>
      </c>
      <c r="F15" s="3" t="str">
        <f>E14&amp;" "&amp;F14</f>
        <v>Rajesh Garg</v>
      </c>
      <c r="G15" s="3"/>
    </row>
    <row r="16" spans="1:9">
      <c r="A16">
        <v>15</v>
      </c>
      <c r="B16" t="str">
        <f t="shared" si="0"/>
        <v>_x000F_</v>
      </c>
      <c r="D16" s="3" t="s">
        <v>22</v>
      </c>
      <c r="E16" s="3" t="str">
        <f>DOLLAR(F16,0)</f>
        <v>$4,343</v>
      </c>
      <c r="F16" s="3">
        <v>4343</v>
      </c>
      <c r="G16" s="3" t="s">
        <v>23</v>
      </c>
    </row>
    <row r="17" spans="1:7">
      <c r="A17">
        <v>16</v>
      </c>
      <c r="B17" t="str">
        <f t="shared" si="0"/>
        <v>_x0010_</v>
      </c>
      <c r="D17" s="3" t="s">
        <v>24</v>
      </c>
      <c r="E17" s="3" t="b">
        <f>EXACT(E18,F18)</f>
        <v>0</v>
      </c>
      <c r="F17" s="3"/>
      <c r="G17" s="3" t="s">
        <v>27</v>
      </c>
    </row>
    <row r="18" spans="1:7">
      <c r="A18">
        <v>17</v>
      </c>
      <c r="B18" t="str">
        <f t="shared" si="0"/>
        <v>_x0011_</v>
      </c>
      <c r="E18" t="s">
        <v>25</v>
      </c>
      <c r="F18" t="s">
        <v>26</v>
      </c>
    </row>
    <row r="19" spans="1:7">
      <c r="A19">
        <v>18</v>
      </c>
      <c r="B19" t="str">
        <f t="shared" si="0"/>
        <v>_x0012_</v>
      </c>
      <c r="F19" t="b">
        <f>E18=F18</f>
        <v>1</v>
      </c>
    </row>
    <row r="20" spans="1:7">
      <c r="A20">
        <v>19</v>
      </c>
      <c r="B20" t="str">
        <f t="shared" si="0"/>
        <v>_x0013_</v>
      </c>
      <c r="D20" s="3" t="s">
        <v>28</v>
      </c>
      <c r="E20" s="5" t="str">
        <f>FIXED(F20,2,0)</f>
        <v>35,453.00</v>
      </c>
      <c r="F20" s="6">
        <v>35453</v>
      </c>
    </row>
    <row r="21" spans="1:7">
      <c r="A21">
        <v>20</v>
      </c>
      <c r="B21" t="str">
        <f t="shared" si="0"/>
        <v>_x0014_</v>
      </c>
      <c r="D21" s="7" t="s">
        <v>29</v>
      </c>
      <c r="E21" t="str">
        <f>REPT("Raj",10)</f>
        <v>RajRajRajRajRajRajRajRajRajRaj</v>
      </c>
    </row>
    <row r="22" spans="1:7">
      <c r="A22">
        <v>21</v>
      </c>
      <c r="B22" t="str">
        <f t="shared" si="0"/>
        <v>_x0015_</v>
      </c>
      <c r="D22" s="7" t="s">
        <v>34</v>
      </c>
      <c r="E22" t="str">
        <f>LOWER(F22)</f>
        <v>rajesh</v>
      </c>
      <c r="F22" t="s">
        <v>37</v>
      </c>
    </row>
    <row r="23" spans="1:7">
      <c r="A23">
        <v>22</v>
      </c>
      <c r="B23" t="str">
        <f t="shared" si="0"/>
        <v>_x0016_</v>
      </c>
      <c r="D23" s="7" t="s">
        <v>35</v>
      </c>
      <c r="E23" t="str">
        <f>UPPER(E22)</f>
        <v>RAJESH</v>
      </c>
      <c r="F23" t="s">
        <v>37</v>
      </c>
    </row>
    <row r="24" spans="1:7">
      <c r="A24">
        <v>23</v>
      </c>
      <c r="B24" t="str">
        <f t="shared" si="0"/>
        <v>_x0017_</v>
      </c>
      <c r="D24" s="7" t="s">
        <v>36</v>
      </c>
      <c r="E24" t="str">
        <f>PROPER(E23)</f>
        <v>Rajesh</v>
      </c>
      <c r="F24" t="s">
        <v>37</v>
      </c>
      <c r="G24" t="str">
        <f>T(3)</f>
        <v/>
      </c>
    </row>
    <row r="25" spans="1:7">
      <c r="A25">
        <v>24</v>
      </c>
      <c r="B25" t="str">
        <f t="shared" si="0"/>
        <v>_x0018_</v>
      </c>
    </row>
    <row r="26" spans="1:7">
      <c r="A26">
        <v>25</v>
      </c>
      <c r="B26" t="str">
        <f t="shared" si="0"/>
        <v>_x0019_</v>
      </c>
      <c r="D26" t="s">
        <v>39</v>
      </c>
      <c r="E26" t="s">
        <v>38</v>
      </c>
      <c r="F26" s="12">
        <v>0.25</v>
      </c>
    </row>
    <row r="27" spans="1:7">
      <c r="A27">
        <v>26</v>
      </c>
      <c r="B27" t="str">
        <f t="shared" si="0"/>
        <v>_x001A_</v>
      </c>
      <c r="E27" t="str">
        <f>E26&amp;" "&amp;TEXT(F26,"0%")</f>
        <v>Marks 25%</v>
      </c>
    </row>
    <row r="28" spans="1:7">
      <c r="A28">
        <v>27</v>
      </c>
      <c r="B28" t="str">
        <f t="shared" si="0"/>
        <v>_x001B_</v>
      </c>
      <c r="D28" s="3" t="s">
        <v>40</v>
      </c>
      <c r="E28" s="3" t="str">
        <f>T(F28)</f>
        <v>232fsds</v>
      </c>
      <c r="F28" s="3" t="s">
        <v>42</v>
      </c>
      <c r="G28" t="s">
        <v>41</v>
      </c>
    </row>
    <row r="29" spans="1:7">
      <c r="A29">
        <v>28</v>
      </c>
      <c r="B29" t="str">
        <f t="shared" si="0"/>
        <v>_x001C_</v>
      </c>
      <c r="D29" s="3" t="s">
        <v>43</v>
      </c>
      <c r="E29" s="3">
        <f>N(F29)</f>
        <v>0</v>
      </c>
      <c r="F29" s="3" t="s">
        <v>44</v>
      </c>
    </row>
    <row r="30" spans="1:7">
      <c r="A30">
        <v>29</v>
      </c>
      <c r="B30" t="str">
        <f t="shared" si="0"/>
        <v>_x001D_</v>
      </c>
      <c r="D30" s="7" t="s">
        <v>51</v>
      </c>
      <c r="E30" s="13" t="s">
        <v>52</v>
      </c>
      <c r="F30">
        <f>VALUE(E30)</f>
        <v>1</v>
      </c>
      <c r="G30" t="s">
        <v>56</v>
      </c>
    </row>
    <row r="31" spans="1:7">
      <c r="A31">
        <v>30</v>
      </c>
      <c r="B31" t="str">
        <f t="shared" si="0"/>
        <v>_x001E_</v>
      </c>
      <c r="D31" s="7" t="s">
        <v>53</v>
      </c>
      <c r="E31" s="13" t="s">
        <v>55</v>
      </c>
      <c r="F31" s="14">
        <f>DATEVALUE(E31)</f>
        <v>41680</v>
      </c>
      <c r="G31">
        <f>VALUE(E31)</f>
        <v>41680</v>
      </c>
    </row>
    <row r="32" spans="1:7">
      <c r="A32">
        <v>31</v>
      </c>
      <c r="B32" t="str">
        <f t="shared" si="0"/>
        <v>_x001F_</v>
      </c>
      <c r="D32" s="7" t="s">
        <v>54</v>
      </c>
    </row>
    <row r="33" spans="1:6">
      <c r="A33">
        <v>32</v>
      </c>
      <c r="B33" t="str">
        <f t="shared" si="0"/>
        <v xml:space="preserve"> </v>
      </c>
      <c r="E33">
        <f>DATEVALUE("10/05/2010")</f>
        <v>40456</v>
      </c>
      <c r="F33" s="9">
        <v>40456</v>
      </c>
    </row>
    <row r="34" spans="1:6">
      <c r="A34">
        <v>33</v>
      </c>
      <c r="B34" t="str">
        <f t="shared" si="0"/>
        <v>!</v>
      </c>
      <c r="F34" t="b">
        <f>F33=E33</f>
        <v>1</v>
      </c>
    </row>
    <row r="35" spans="1:6">
      <c r="A35">
        <v>34</v>
      </c>
      <c r="B35" t="str">
        <f t="shared" si="0"/>
        <v>"</v>
      </c>
    </row>
    <row r="36" spans="1:6">
      <c r="A36">
        <v>35</v>
      </c>
      <c r="B36" t="str">
        <f t="shared" si="0"/>
        <v>#</v>
      </c>
    </row>
    <row r="37" spans="1:6">
      <c r="A37">
        <v>36</v>
      </c>
      <c r="B37" t="str">
        <f t="shared" si="0"/>
        <v>$</v>
      </c>
    </row>
    <row r="38" spans="1:6">
      <c r="A38">
        <v>37</v>
      </c>
      <c r="B38" t="str">
        <f t="shared" si="0"/>
        <v>%</v>
      </c>
    </row>
    <row r="39" spans="1:6">
      <c r="A39">
        <v>38</v>
      </c>
      <c r="B39" t="str">
        <f t="shared" si="0"/>
        <v>&amp;</v>
      </c>
    </row>
    <row r="40" spans="1:6">
      <c r="A40">
        <v>39</v>
      </c>
      <c r="B40" t="str">
        <f t="shared" si="0"/>
        <v>'</v>
      </c>
    </row>
    <row r="41" spans="1:6">
      <c r="A41">
        <v>40</v>
      </c>
      <c r="B41" t="str">
        <f t="shared" si="0"/>
        <v>(</v>
      </c>
    </row>
    <row r="42" spans="1:6">
      <c r="A42">
        <v>41</v>
      </c>
      <c r="B42" t="str">
        <f t="shared" si="0"/>
        <v>)</v>
      </c>
    </row>
    <row r="43" spans="1:6">
      <c r="A43">
        <v>42</v>
      </c>
      <c r="B43" t="str">
        <f t="shared" si="0"/>
        <v>*</v>
      </c>
    </row>
    <row r="44" spans="1:6">
      <c r="A44">
        <v>43</v>
      </c>
      <c r="B44" t="str">
        <f t="shared" si="0"/>
        <v>+</v>
      </c>
    </row>
    <row r="45" spans="1:6">
      <c r="A45">
        <v>44</v>
      </c>
      <c r="B45" t="str">
        <f t="shared" si="0"/>
        <v>,</v>
      </c>
    </row>
    <row r="46" spans="1:6">
      <c r="A46">
        <v>45</v>
      </c>
      <c r="B46" t="str">
        <f t="shared" si="0"/>
        <v>-</v>
      </c>
    </row>
    <row r="47" spans="1:6">
      <c r="A47">
        <v>46</v>
      </c>
      <c r="B47" t="str">
        <f t="shared" si="0"/>
        <v>.</v>
      </c>
    </row>
    <row r="48" spans="1:6">
      <c r="A48">
        <v>47</v>
      </c>
      <c r="B48" t="str">
        <f t="shared" si="0"/>
        <v>/</v>
      </c>
    </row>
    <row r="49" spans="1:2">
      <c r="A49">
        <v>48</v>
      </c>
      <c r="B49" t="str">
        <f t="shared" si="0"/>
        <v>0</v>
      </c>
    </row>
    <row r="50" spans="1:2">
      <c r="A50">
        <v>49</v>
      </c>
      <c r="B50" t="str">
        <f t="shared" si="0"/>
        <v>1</v>
      </c>
    </row>
    <row r="51" spans="1:2">
      <c r="A51">
        <v>50</v>
      </c>
      <c r="B51" t="str">
        <f t="shared" si="0"/>
        <v>2</v>
      </c>
    </row>
    <row r="52" spans="1:2">
      <c r="A52">
        <v>51</v>
      </c>
      <c r="B52" t="str">
        <f t="shared" si="0"/>
        <v>3</v>
      </c>
    </row>
    <row r="53" spans="1:2">
      <c r="A53">
        <v>52</v>
      </c>
      <c r="B53" t="str">
        <f t="shared" si="0"/>
        <v>4</v>
      </c>
    </row>
    <row r="54" spans="1:2">
      <c r="A54">
        <v>53</v>
      </c>
      <c r="B54" t="str">
        <f t="shared" si="0"/>
        <v>5</v>
      </c>
    </row>
    <row r="55" spans="1:2">
      <c r="A55">
        <v>54</v>
      </c>
      <c r="B55" t="str">
        <f t="shared" si="0"/>
        <v>6</v>
      </c>
    </row>
    <row r="56" spans="1:2">
      <c r="A56">
        <v>55</v>
      </c>
      <c r="B56" t="str">
        <f t="shared" si="0"/>
        <v>7</v>
      </c>
    </row>
    <row r="57" spans="1:2">
      <c r="A57">
        <v>56</v>
      </c>
      <c r="B57" t="str">
        <f t="shared" si="0"/>
        <v>8</v>
      </c>
    </row>
    <row r="58" spans="1:2">
      <c r="A58">
        <v>57</v>
      </c>
      <c r="B58" t="str">
        <f t="shared" si="0"/>
        <v>9</v>
      </c>
    </row>
    <row r="59" spans="1:2">
      <c r="A59">
        <v>58</v>
      </c>
      <c r="B59" t="str">
        <f t="shared" si="0"/>
        <v>:</v>
      </c>
    </row>
    <row r="60" spans="1:2">
      <c r="A60">
        <v>59</v>
      </c>
      <c r="B60" t="str">
        <f t="shared" si="0"/>
        <v>;</v>
      </c>
    </row>
    <row r="61" spans="1:2">
      <c r="A61">
        <v>60</v>
      </c>
      <c r="B61" t="str">
        <f t="shared" si="0"/>
        <v>&lt;</v>
      </c>
    </row>
    <row r="62" spans="1:2">
      <c r="A62">
        <v>61</v>
      </c>
      <c r="B62" t="str">
        <f t="shared" si="0"/>
        <v>=</v>
      </c>
    </row>
    <row r="63" spans="1:2">
      <c r="A63">
        <v>62</v>
      </c>
      <c r="B63" t="str">
        <f t="shared" si="0"/>
        <v>&gt;</v>
      </c>
    </row>
    <row r="64" spans="1:2">
      <c r="A64">
        <v>63</v>
      </c>
      <c r="B64" t="str">
        <f t="shared" si="0"/>
        <v>?</v>
      </c>
    </row>
    <row r="65" spans="1:2">
      <c r="A65">
        <v>64</v>
      </c>
      <c r="B65" t="str">
        <f t="shared" si="0"/>
        <v>@</v>
      </c>
    </row>
    <row r="66" spans="1:2">
      <c r="A66">
        <v>65</v>
      </c>
      <c r="B66" t="str">
        <f t="shared" si="0"/>
        <v>A</v>
      </c>
    </row>
    <row r="67" spans="1:2">
      <c r="A67">
        <v>66</v>
      </c>
      <c r="B67" t="str">
        <f t="shared" ref="B67:B130" si="1">CHAR(A67)</f>
        <v>B</v>
      </c>
    </row>
    <row r="68" spans="1:2">
      <c r="A68">
        <v>67</v>
      </c>
      <c r="B68" t="str">
        <f t="shared" si="1"/>
        <v>C</v>
      </c>
    </row>
    <row r="69" spans="1:2">
      <c r="A69">
        <v>68</v>
      </c>
      <c r="B69" t="str">
        <f t="shared" si="1"/>
        <v>D</v>
      </c>
    </row>
    <row r="70" spans="1:2">
      <c r="A70">
        <v>69</v>
      </c>
      <c r="B70" t="str">
        <f t="shared" si="1"/>
        <v>E</v>
      </c>
    </row>
    <row r="71" spans="1:2">
      <c r="A71">
        <v>70</v>
      </c>
      <c r="B71" t="str">
        <f t="shared" si="1"/>
        <v>F</v>
      </c>
    </row>
    <row r="72" spans="1:2">
      <c r="A72">
        <v>71</v>
      </c>
      <c r="B72" t="str">
        <f t="shared" si="1"/>
        <v>G</v>
      </c>
    </row>
    <row r="73" spans="1:2">
      <c r="A73">
        <v>72</v>
      </c>
      <c r="B73" t="str">
        <f t="shared" si="1"/>
        <v>H</v>
      </c>
    </row>
    <row r="74" spans="1:2">
      <c r="A74">
        <v>73</v>
      </c>
      <c r="B74" t="str">
        <f t="shared" si="1"/>
        <v>I</v>
      </c>
    </row>
    <row r="75" spans="1:2">
      <c r="A75">
        <v>74</v>
      </c>
      <c r="B75" t="str">
        <f t="shared" si="1"/>
        <v>J</v>
      </c>
    </row>
    <row r="76" spans="1:2">
      <c r="A76">
        <v>75</v>
      </c>
      <c r="B76" t="str">
        <f t="shared" si="1"/>
        <v>K</v>
      </c>
    </row>
    <row r="77" spans="1:2">
      <c r="A77">
        <v>76</v>
      </c>
      <c r="B77" t="str">
        <f t="shared" si="1"/>
        <v>L</v>
      </c>
    </row>
    <row r="78" spans="1:2">
      <c r="A78">
        <v>77</v>
      </c>
      <c r="B78" t="str">
        <f t="shared" si="1"/>
        <v>M</v>
      </c>
    </row>
    <row r="79" spans="1:2">
      <c r="A79">
        <v>78</v>
      </c>
      <c r="B79" t="str">
        <f t="shared" si="1"/>
        <v>N</v>
      </c>
    </row>
    <row r="80" spans="1:2">
      <c r="A80">
        <v>79</v>
      </c>
      <c r="B80" t="str">
        <f t="shared" si="1"/>
        <v>O</v>
      </c>
    </row>
    <row r="81" spans="1:2">
      <c r="A81">
        <v>80</v>
      </c>
      <c r="B81" t="str">
        <f t="shared" si="1"/>
        <v>P</v>
      </c>
    </row>
    <row r="82" spans="1:2">
      <c r="A82">
        <v>81</v>
      </c>
      <c r="B82" t="str">
        <f t="shared" si="1"/>
        <v>Q</v>
      </c>
    </row>
    <row r="83" spans="1:2">
      <c r="A83">
        <v>82</v>
      </c>
      <c r="B83" t="str">
        <f t="shared" si="1"/>
        <v>R</v>
      </c>
    </row>
    <row r="84" spans="1:2">
      <c r="A84">
        <v>83</v>
      </c>
      <c r="B84" t="str">
        <f t="shared" si="1"/>
        <v>S</v>
      </c>
    </row>
    <row r="85" spans="1:2">
      <c r="A85">
        <v>84</v>
      </c>
      <c r="B85" t="str">
        <f t="shared" si="1"/>
        <v>T</v>
      </c>
    </row>
    <row r="86" spans="1:2">
      <c r="A86">
        <v>85</v>
      </c>
      <c r="B86" t="str">
        <f t="shared" si="1"/>
        <v>U</v>
      </c>
    </row>
    <row r="87" spans="1:2">
      <c r="A87">
        <v>86</v>
      </c>
      <c r="B87" t="str">
        <f t="shared" si="1"/>
        <v>V</v>
      </c>
    </row>
    <row r="88" spans="1:2">
      <c r="A88">
        <v>87</v>
      </c>
      <c r="B88" t="str">
        <f t="shared" si="1"/>
        <v>W</v>
      </c>
    </row>
    <row r="89" spans="1:2">
      <c r="A89">
        <v>88</v>
      </c>
      <c r="B89" t="str">
        <f t="shared" si="1"/>
        <v>X</v>
      </c>
    </row>
    <row r="90" spans="1:2">
      <c r="A90">
        <v>89</v>
      </c>
      <c r="B90" t="str">
        <f t="shared" si="1"/>
        <v>Y</v>
      </c>
    </row>
    <row r="91" spans="1:2">
      <c r="A91">
        <v>90</v>
      </c>
      <c r="B91" t="str">
        <f t="shared" si="1"/>
        <v>Z</v>
      </c>
    </row>
    <row r="92" spans="1:2">
      <c r="A92">
        <v>91</v>
      </c>
      <c r="B92" t="str">
        <f t="shared" si="1"/>
        <v>[</v>
      </c>
    </row>
    <row r="93" spans="1:2">
      <c r="A93">
        <v>92</v>
      </c>
      <c r="B93" t="str">
        <f t="shared" si="1"/>
        <v>\</v>
      </c>
    </row>
    <row r="94" spans="1:2">
      <c r="A94">
        <v>93</v>
      </c>
      <c r="B94" t="str">
        <f t="shared" si="1"/>
        <v>]</v>
      </c>
    </row>
    <row r="95" spans="1:2">
      <c r="A95">
        <v>94</v>
      </c>
      <c r="B95" t="str">
        <f t="shared" si="1"/>
        <v>^</v>
      </c>
    </row>
    <row r="96" spans="1:2">
      <c r="A96">
        <v>95</v>
      </c>
      <c r="B96" t="str">
        <f t="shared" si="1"/>
        <v>_</v>
      </c>
    </row>
    <row r="97" spans="1:2">
      <c r="A97">
        <v>96</v>
      </c>
      <c r="B97" t="str">
        <f t="shared" si="1"/>
        <v>`</v>
      </c>
    </row>
    <row r="98" spans="1:2">
      <c r="A98">
        <v>97</v>
      </c>
      <c r="B98" t="str">
        <f t="shared" si="1"/>
        <v>a</v>
      </c>
    </row>
    <row r="99" spans="1:2">
      <c r="A99">
        <v>98</v>
      </c>
      <c r="B99" t="str">
        <f t="shared" si="1"/>
        <v>b</v>
      </c>
    </row>
    <row r="100" spans="1:2">
      <c r="A100">
        <v>99</v>
      </c>
      <c r="B100" t="str">
        <f t="shared" si="1"/>
        <v>c</v>
      </c>
    </row>
    <row r="101" spans="1:2">
      <c r="A101">
        <v>100</v>
      </c>
      <c r="B101" t="str">
        <f t="shared" si="1"/>
        <v>d</v>
      </c>
    </row>
    <row r="102" spans="1:2">
      <c r="A102">
        <v>101</v>
      </c>
      <c r="B102" t="str">
        <f t="shared" si="1"/>
        <v>e</v>
      </c>
    </row>
    <row r="103" spans="1:2">
      <c r="A103">
        <v>102</v>
      </c>
      <c r="B103" t="str">
        <f t="shared" si="1"/>
        <v>f</v>
      </c>
    </row>
    <row r="104" spans="1:2">
      <c r="A104">
        <v>103</v>
      </c>
      <c r="B104" t="str">
        <f t="shared" si="1"/>
        <v>g</v>
      </c>
    </row>
    <row r="105" spans="1:2">
      <c r="A105">
        <v>104</v>
      </c>
      <c r="B105" t="str">
        <f t="shared" si="1"/>
        <v>h</v>
      </c>
    </row>
    <row r="106" spans="1:2">
      <c r="A106">
        <v>105</v>
      </c>
      <c r="B106" t="str">
        <f t="shared" si="1"/>
        <v>i</v>
      </c>
    </row>
    <row r="107" spans="1:2">
      <c r="A107">
        <v>106</v>
      </c>
      <c r="B107" t="str">
        <f t="shared" si="1"/>
        <v>j</v>
      </c>
    </row>
    <row r="108" spans="1:2">
      <c r="A108">
        <v>107</v>
      </c>
      <c r="B108" t="str">
        <f t="shared" si="1"/>
        <v>k</v>
      </c>
    </row>
    <row r="109" spans="1:2">
      <c r="A109">
        <v>108</v>
      </c>
      <c r="B109" t="str">
        <f t="shared" si="1"/>
        <v>l</v>
      </c>
    </row>
    <row r="110" spans="1:2">
      <c r="A110">
        <v>109</v>
      </c>
      <c r="B110" t="str">
        <f t="shared" si="1"/>
        <v>m</v>
      </c>
    </row>
    <row r="111" spans="1:2">
      <c r="A111">
        <v>110</v>
      </c>
      <c r="B111" t="str">
        <f t="shared" si="1"/>
        <v>n</v>
      </c>
    </row>
    <row r="112" spans="1:2">
      <c r="A112">
        <v>111</v>
      </c>
      <c r="B112" t="str">
        <f t="shared" si="1"/>
        <v>o</v>
      </c>
    </row>
    <row r="113" spans="1:2">
      <c r="A113">
        <v>112</v>
      </c>
      <c r="B113" t="str">
        <f t="shared" si="1"/>
        <v>p</v>
      </c>
    </row>
    <row r="114" spans="1:2">
      <c r="A114">
        <v>113</v>
      </c>
      <c r="B114" t="str">
        <f t="shared" si="1"/>
        <v>q</v>
      </c>
    </row>
    <row r="115" spans="1:2">
      <c r="A115">
        <v>114</v>
      </c>
      <c r="B115" t="str">
        <f t="shared" si="1"/>
        <v>r</v>
      </c>
    </row>
    <row r="116" spans="1:2">
      <c r="A116">
        <v>115</v>
      </c>
      <c r="B116" t="str">
        <f t="shared" si="1"/>
        <v>s</v>
      </c>
    </row>
    <row r="117" spans="1:2">
      <c r="A117">
        <v>116</v>
      </c>
      <c r="B117" t="str">
        <f t="shared" si="1"/>
        <v>t</v>
      </c>
    </row>
    <row r="118" spans="1:2">
      <c r="A118">
        <v>117</v>
      </c>
      <c r="B118" t="str">
        <f t="shared" si="1"/>
        <v>u</v>
      </c>
    </row>
    <row r="119" spans="1:2">
      <c r="A119">
        <v>118</v>
      </c>
      <c r="B119" t="str">
        <f t="shared" si="1"/>
        <v>v</v>
      </c>
    </row>
    <row r="120" spans="1:2">
      <c r="A120">
        <v>119</v>
      </c>
      <c r="B120" t="str">
        <f t="shared" si="1"/>
        <v>w</v>
      </c>
    </row>
    <row r="121" spans="1:2">
      <c r="A121">
        <v>120</v>
      </c>
      <c r="B121" t="str">
        <f t="shared" si="1"/>
        <v>x</v>
      </c>
    </row>
    <row r="122" spans="1:2">
      <c r="A122">
        <v>121</v>
      </c>
      <c r="B122" t="str">
        <f t="shared" si="1"/>
        <v>y</v>
      </c>
    </row>
    <row r="123" spans="1:2">
      <c r="A123">
        <v>122</v>
      </c>
      <c r="B123" t="str">
        <f t="shared" si="1"/>
        <v>z</v>
      </c>
    </row>
    <row r="124" spans="1:2">
      <c r="A124">
        <v>123</v>
      </c>
      <c r="B124" t="str">
        <f t="shared" si="1"/>
        <v>{</v>
      </c>
    </row>
    <row r="125" spans="1:2">
      <c r="A125">
        <v>124</v>
      </c>
      <c r="B125" t="str">
        <f t="shared" si="1"/>
        <v>|</v>
      </c>
    </row>
    <row r="126" spans="1:2">
      <c r="A126">
        <v>125</v>
      </c>
      <c r="B126" t="str">
        <f t="shared" si="1"/>
        <v>}</v>
      </c>
    </row>
    <row r="127" spans="1:2">
      <c r="A127">
        <v>126</v>
      </c>
      <c r="B127" t="str">
        <f t="shared" si="1"/>
        <v>~</v>
      </c>
    </row>
    <row r="128" spans="1:2">
      <c r="A128">
        <v>127</v>
      </c>
      <c r="B128" t="str">
        <f t="shared" si="1"/>
        <v></v>
      </c>
    </row>
    <row r="129" spans="1:2">
      <c r="A129">
        <v>128</v>
      </c>
      <c r="B129" t="str">
        <f t="shared" si="1"/>
        <v>€</v>
      </c>
    </row>
    <row r="130" spans="1:2">
      <c r="A130">
        <v>129</v>
      </c>
      <c r="B130" t="str">
        <f t="shared" si="1"/>
        <v></v>
      </c>
    </row>
    <row r="131" spans="1:2">
      <c r="A131">
        <v>130</v>
      </c>
      <c r="B131" t="str">
        <f t="shared" ref="B131:B194" si="2">CHAR(A131)</f>
        <v>‚</v>
      </c>
    </row>
    <row r="132" spans="1:2">
      <c r="A132">
        <v>131</v>
      </c>
      <c r="B132" t="str">
        <f t="shared" si="2"/>
        <v>ƒ</v>
      </c>
    </row>
    <row r="133" spans="1:2">
      <c r="A133">
        <v>132</v>
      </c>
      <c r="B133" t="str">
        <f t="shared" si="2"/>
        <v>„</v>
      </c>
    </row>
    <row r="134" spans="1:2">
      <c r="A134">
        <v>133</v>
      </c>
      <c r="B134" t="str">
        <f t="shared" si="2"/>
        <v>…</v>
      </c>
    </row>
    <row r="135" spans="1:2">
      <c r="A135">
        <v>134</v>
      </c>
      <c r="B135" t="str">
        <f t="shared" si="2"/>
        <v>†</v>
      </c>
    </row>
    <row r="136" spans="1:2">
      <c r="A136">
        <v>135</v>
      </c>
      <c r="B136" t="str">
        <f t="shared" si="2"/>
        <v>‡</v>
      </c>
    </row>
    <row r="137" spans="1:2">
      <c r="A137">
        <v>136</v>
      </c>
      <c r="B137" t="str">
        <f t="shared" si="2"/>
        <v>ˆ</v>
      </c>
    </row>
    <row r="138" spans="1:2">
      <c r="A138">
        <v>137</v>
      </c>
      <c r="B138" t="str">
        <f t="shared" si="2"/>
        <v>‰</v>
      </c>
    </row>
    <row r="139" spans="1:2">
      <c r="A139">
        <v>138</v>
      </c>
      <c r="B139" t="str">
        <f t="shared" si="2"/>
        <v>Š</v>
      </c>
    </row>
    <row r="140" spans="1:2">
      <c r="A140">
        <v>139</v>
      </c>
      <c r="B140" t="str">
        <f t="shared" si="2"/>
        <v>‹</v>
      </c>
    </row>
    <row r="141" spans="1:2">
      <c r="A141">
        <v>140</v>
      </c>
      <c r="B141" t="str">
        <f t="shared" si="2"/>
        <v>Œ</v>
      </c>
    </row>
    <row r="142" spans="1:2">
      <c r="A142">
        <v>141</v>
      </c>
      <c r="B142" t="str">
        <f t="shared" si="2"/>
        <v></v>
      </c>
    </row>
    <row r="143" spans="1:2">
      <c r="A143">
        <v>142</v>
      </c>
      <c r="B143" t="str">
        <f t="shared" si="2"/>
        <v>Ž</v>
      </c>
    </row>
    <row r="144" spans="1:2">
      <c r="A144">
        <v>143</v>
      </c>
      <c r="B144" t="str">
        <f t="shared" si="2"/>
        <v></v>
      </c>
    </row>
    <row r="145" spans="1:2">
      <c r="A145">
        <v>144</v>
      </c>
      <c r="B145" t="str">
        <f t="shared" si="2"/>
        <v></v>
      </c>
    </row>
    <row r="146" spans="1:2">
      <c r="A146">
        <v>145</v>
      </c>
      <c r="B146" t="str">
        <f t="shared" si="2"/>
        <v>‘</v>
      </c>
    </row>
    <row r="147" spans="1:2">
      <c r="A147">
        <v>146</v>
      </c>
      <c r="B147" t="str">
        <f t="shared" si="2"/>
        <v>’</v>
      </c>
    </row>
    <row r="148" spans="1:2">
      <c r="A148">
        <v>147</v>
      </c>
      <c r="B148" t="str">
        <f t="shared" si="2"/>
        <v>“</v>
      </c>
    </row>
    <row r="149" spans="1:2">
      <c r="A149">
        <v>148</v>
      </c>
      <c r="B149" t="str">
        <f t="shared" si="2"/>
        <v>”</v>
      </c>
    </row>
    <row r="150" spans="1:2">
      <c r="A150">
        <v>149</v>
      </c>
      <c r="B150" t="str">
        <f t="shared" si="2"/>
        <v>•</v>
      </c>
    </row>
    <row r="151" spans="1:2">
      <c r="A151">
        <v>150</v>
      </c>
      <c r="B151" t="str">
        <f t="shared" si="2"/>
        <v>–</v>
      </c>
    </row>
    <row r="152" spans="1:2">
      <c r="A152">
        <v>151</v>
      </c>
      <c r="B152" t="str">
        <f t="shared" si="2"/>
        <v>—</v>
      </c>
    </row>
    <row r="153" spans="1:2">
      <c r="A153">
        <v>152</v>
      </c>
      <c r="B153" t="str">
        <f t="shared" si="2"/>
        <v>˜</v>
      </c>
    </row>
    <row r="154" spans="1:2">
      <c r="A154">
        <v>153</v>
      </c>
      <c r="B154" t="str">
        <f t="shared" si="2"/>
        <v>™</v>
      </c>
    </row>
    <row r="155" spans="1:2">
      <c r="A155">
        <v>154</v>
      </c>
      <c r="B155" t="str">
        <f t="shared" si="2"/>
        <v>š</v>
      </c>
    </row>
    <row r="156" spans="1:2">
      <c r="A156">
        <v>155</v>
      </c>
      <c r="B156" t="str">
        <f t="shared" si="2"/>
        <v>›</v>
      </c>
    </row>
    <row r="157" spans="1:2">
      <c r="A157">
        <v>156</v>
      </c>
      <c r="B157" t="str">
        <f t="shared" si="2"/>
        <v>œ</v>
      </c>
    </row>
    <row r="158" spans="1:2">
      <c r="A158">
        <v>157</v>
      </c>
      <c r="B158" t="str">
        <f t="shared" si="2"/>
        <v></v>
      </c>
    </row>
    <row r="159" spans="1:2">
      <c r="A159">
        <v>158</v>
      </c>
      <c r="B159" t="str">
        <f t="shared" si="2"/>
        <v>ž</v>
      </c>
    </row>
    <row r="160" spans="1:2">
      <c r="A160">
        <v>159</v>
      </c>
      <c r="B160" t="str">
        <f t="shared" si="2"/>
        <v>Ÿ</v>
      </c>
    </row>
    <row r="161" spans="1:2">
      <c r="A161">
        <v>160</v>
      </c>
      <c r="B161" t="str">
        <f t="shared" si="2"/>
        <v> </v>
      </c>
    </row>
    <row r="162" spans="1:2">
      <c r="A162">
        <v>161</v>
      </c>
      <c r="B162" t="str">
        <f t="shared" si="2"/>
        <v>¡</v>
      </c>
    </row>
    <row r="163" spans="1:2">
      <c r="A163">
        <v>162</v>
      </c>
      <c r="B163" t="str">
        <f t="shared" si="2"/>
        <v>¢</v>
      </c>
    </row>
    <row r="164" spans="1:2">
      <c r="A164">
        <v>163</v>
      </c>
      <c r="B164" t="str">
        <f t="shared" si="2"/>
        <v>£</v>
      </c>
    </row>
    <row r="165" spans="1:2">
      <c r="A165">
        <v>164</v>
      </c>
      <c r="B165" t="str">
        <f t="shared" si="2"/>
        <v>¤</v>
      </c>
    </row>
    <row r="166" spans="1:2">
      <c r="A166">
        <v>165</v>
      </c>
      <c r="B166" t="str">
        <f t="shared" si="2"/>
        <v>¥</v>
      </c>
    </row>
    <row r="167" spans="1:2">
      <c r="A167">
        <v>166</v>
      </c>
      <c r="B167" t="str">
        <f t="shared" si="2"/>
        <v>¦</v>
      </c>
    </row>
    <row r="168" spans="1:2">
      <c r="A168">
        <v>167</v>
      </c>
      <c r="B168" t="str">
        <f t="shared" si="2"/>
        <v>§</v>
      </c>
    </row>
    <row r="169" spans="1:2">
      <c r="A169">
        <v>168</v>
      </c>
      <c r="B169" t="str">
        <f t="shared" si="2"/>
        <v>¨</v>
      </c>
    </row>
    <row r="170" spans="1:2">
      <c r="A170">
        <v>169</v>
      </c>
      <c r="B170" t="str">
        <f t="shared" si="2"/>
        <v>©</v>
      </c>
    </row>
    <row r="171" spans="1:2">
      <c r="A171">
        <v>170</v>
      </c>
      <c r="B171" t="str">
        <f t="shared" si="2"/>
        <v>ª</v>
      </c>
    </row>
    <row r="172" spans="1:2">
      <c r="A172">
        <v>171</v>
      </c>
      <c r="B172" t="str">
        <f t="shared" si="2"/>
        <v>«</v>
      </c>
    </row>
    <row r="173" spans="1:2">
      <c r="A173">
        <v>172</v>
      </c>
      <c r="B173" t="str">
        <f t="shared" si="2"/>
        <v>¬</v>
      </c>
    </row>
    <row r="174" spans="1:2">
      <c r="A174">
        <v>173</v>
      </c>
      <c r="B174" t="str">
        <f t="shared" si="2"/>
        <v>­</v>
      </c>
    </row>
    <row r="175" spans="1:2">
      <c r="A175">
        <v>174</v>
      </c>
      <c r="B175" t="str">
        <f t="shared" si="2"/>
        <v>®</v>
      </c>
    </row>
    <row r="176" spans="1:2">
      <c r="A176">
        <v>175</v>
      </c>
      <c r="B176" t="str">
        <f t="shared" si="2"/>
        <v>¯</v>
      </c>
    </row>
    <row r="177" spans="1:2">
      <c r="A177">
        <v>176</v>
      </c>
      <c r="B177" t="str">
        <f t="shared" si="2"/>
        <v>°</v>
      </c>
    </row>
    <row r="178" spans="1:2">
      <c r="A178">
        <v>177</v>
      </c>
      <c r="B178" t="str">
        <f t="shared" si="2"/>
        <v>±</v>
      </c>
    </row>
    <row r="179" spans="1:2">
      <c r="A179">
        <v>178</v>
      </c>
      <c r="B179" t="str">
        <f t="shared" si="2"/>
        <v>²</v>
      </c>
    </row>
    <row r="180" spans="1:2">
      <c r="A180">
        <v>179</v>
      </c>
      <c r="B180" t="str">
        <f t="shared" si="2"/>
        <v>³</v>
      </c>
    </row>
    <row r="181" spans="1:2">
      <c r="A181">
        <v>180</v>
      </c>
      <c r="B181" t="str">
        <f t="shared" si="2"/>
        <v>´</v>
      </c>
    </row>
    <row r="182" spans="1:2">
      <c r="A182">
        <v>181</v>
      </c>
      <c r="B182" t="str">
        <f t="shared" si="2"/>
        <v>µ</v>
      </c>
    </row>
    <row r="183" spans="1:2">
      <c r="A183">
        <v>182</v>
      </c>
      <c r="B183" t="str">
        <f t="shared" si="2"/>
        <v>¶</v>
      </c>
    </row>
    <row r="184" spans="1:2">
      <c r="A184">
        <v>183</v>
      </c>
      <c r="B184" t="str">
        <f t="shared" si="2"/>
        <v>·</v>
      </c>
    </row>
    <row r="185" spans="1:2">
      <c r="A185">
        <v>184</v>
      </c>
      <c r="B185" t="str">
        <f t="shared" si="2"/>
        <v>¸</v>
      </c>
    </row>
    <row r="186" spans="1:2">
      <c r="A186">
        <v>185</v>
      </c>
      <c r="B186" t="str">
        <f t="shared" si="2"/>
        <v>¹</v>
      </c>
    </row>
    <row r="187" spans="1:2">
      <c r="A187">
        <v>186</v>
      </c>
      <c r="B187" t="str">
        <f t="shared" si="2"/>
        <v>º</v>
      </c>
    </row>
    <row r="188" spans="1:2">
      <c r="A188">
        <v>187</v>
      </c>
      <c r="B188" t="str">
        <f t="shared" si="2"/>
        <v>»</v>
      </c>
    </row>
    <row r="189" spans="1:2">
      <c r="A189">
        <v>188</v>
      </c>
      <c r="B189" t="str">
        <f t="shared" si="2"/>
        <v>¼</v>
      </c>
    </row>
    <row r="190" spans="1:2">
      <c r="A190">
        <v>189</v>
      </c>
      <c r="B190" t="str">
        <f t="shared" si="2"/>
        <v>½</v>
      </c>
    </row>
    <row r="191" spans="1:2">
      <c r="A191">
        <v>190</v>
      </c>
      <c r="B191" t="str">
        <f t="shared" si="2"/>
        <v>¾</v>
      </c>
    </row>
    <row r="192" spans="1:2">
      <c r="A192">
        <v>191</v>
      </c>
      <c r="B192" t="str">
        <f t="shared" si="2"/>
        <v>¿</v>
      </c>
    </row>
    <row r="193" spans="1:2">
      <c r="A193">
        <v>192</v>
      </c>
      <c r="B193" t="str">
        <f t="shared" si="2"/>
        <v>À</v>
      </c>
    </row>
    <row r="194" spans="1:2">
      <c r="A194">
        <v>193</v>
      </c>
      <c r="B194" t="str">
        <f t="shared" si="2"/>
        <v>Á</v>
      </c>
    </row>
    <row r="195" spans="1:2">
      <c r="A195">
        <v>194</v>
      </c>
      <c r="B195" t="str">
        <f t="shared" ref="B195:B256" si="3">CHAR(A195)</f>
        <v>Â</v>
      </c>
    </row>
    <row r="196" spans="1:2">
      <c r="A196">
        <v>195</v>
      </c>
      <c r="B196" t="str">
        <f t="shared" si="3"/>
        <v>Ã</v>
      </c>
    </row>
    <row r="197" spans="1:2">
      <c r="A197">
        <v>196</v>
      </c>
      <c r="B197" t="str">
        <f t="shared" si="3"/>
        <v>Ä</v>
      </c>
    </row>
    <row r="198" spans="1:2">
      <c r="A198">
        <v>197</v>
      </c>
      <c r="B198" t="str">
        <f t="shared" si="3"/>
        <v>Å</v>
      </c>
    </row>
    <row r="199" spans="1:2">
      <c r="A199">
        <v>198</v>
      </c>
      <c r="B199" t="str">
        <f t="shared" si="3"/>
        <v>Æ</v>
      </c>
    </row>
    <row r="200" spans="1:2">
      <c r="A200">
        <v>199</v>
      </c>
      <c r="B200" t="str">
        <f t="shared" si="3"/>
        <v>Ç</v>
      </c>
    </row>
    <row r="201" spans="1:2">
      <c r="A201">
        <v>200</v>
      </c>
      <c r="B201" t="str">
        <f t="shared" si="3"/>
        <v>È</v>
      </c>
    </row>
    <row r="202" spans="1:2">
      <c r="A202">
        <v>201</v>
      </c>
      <c r="B202" t="str">
        <f t="shared" si="3"/>
        <v>É</v>
      </c>
    </row>
    <row r="203" spans="1:2">
      <c r="A203">
        <v>202</v>
      </c>
      <c r="B203" t="str">
        <f t="shared" si="3"/>
        <v>Ê</v>
      </c>
    </row>
    <row r="204" spans="1:2">
      <c r="A204">
        <v>203</v>
      </c>
      <c r="B204" t="str">
        <f t="shared" si="3"/>
        <v>Ë</v>
      </c>
    </row>
    <row r="205" spans="1:2">
      <c r="A205">
        <v>204</v>
      </c>
      <c r="B205" t="str">
        <f t="shared" si="3"/>
        <v>Ì</v>
      </c>
    </row>
    <row r="206" spans="1:2">
      <c r="A206">
        <v>205</v>
      </c>
      <c r="B206" t="str">
        <f t="shared" si="3"/>
        <v>Í</v>
      </c>
    </row>
    <row r="207" spans="1:2">
      <c r="A207">
        <v>206</v>
      </c>
      <c r="B207" t="str">
        <f t="shared" si="3"/>
        <v>Î</v>
      </c>
    </row>
    <row r="208" spans="1:2">
      <c r="A208">
        <v>207</v>
      </c>
      <c r="B208" t="str">
        <f t="shared" si="3"/>
        <v>Ï</v>
      </c>
    </row>
    <row r="209" spans="1:2">
      <c r="A209">
        <v>208</v>
      </c>
      <c r="B209" t="str">
        <f t="shared" si="3"/>
        <v>Ð</v>
      </c>
    </row>
    <row r="210" spans="1:2">
      <c r="A210">
        <v>209</v>
      </c>
      <c r="B210" t="str">
        <f t="shared" si="3"/>
        <v>Ñ</v>
      </c>
    </row>
    <row r="211" spans="1:2">
      <c r="A211">
        <v>210</v>
      </c>
      <c r="B211" t="str">
        <f t="shared" si="3"/>
        <v>Ò</v>
      </c>
    </row>
    <row r="212" spans="1:2">
      <c r="A212">
        <v>211</v>
      </c>
      <c r="B212" t="str">
        <f t="shared" si="3"/>
        <v>Ó</v>
      </c>
    </row>
    <row r="213" spans="1:2">
      <c r="A213">
        <v>212</v>
      </c>
      <c r="B213" t="str">
        <f t="shared" si="3"/>
        <v>Ô</v>
      </c>
    </row>
    <row r="214" spans="1:2">
      <c r="A214">
        <v>213</v>
      </c>
      <c r="B214" t="str">
        <f t="shared" si="3"/>
        <v>Õ</v>
      </c>
    </row>
    <row r="215" spans="1:2">
      <c r="A215">
        <v>214</v>
      </c>
      <c r="B215" t="str">
        <f t="shared" si="3"/>
        <v>Ö</v>
      </c>
    </row>
    <row r="216" spans="1:2">
      <c r="A216">
        <v>215</v>
      </c>
      <c r="B216" t="str">
        <f t="shared" si="3"/>
        <v>×</v>
      </c>
    </row>
    <row r="217" spans="1:2">
      <c r="A217">
        <v>216</v>
      </c>
      <c r="B217" t="str">
        <f t="shared" si="3"/>
        <v>Ø</v>
      </c>
    </row>
    <row r="218" spans="1:2">
      <c r="A218">
        <v>217</v>
      </c>
      <c r="B218" t="str">
        <f t="shared" si="3"/>
        <v>Ù</v>
      </c>
    </row>
    <row r="219" spans="1:2">
      <c r="A219">
        <v>218</v>
      </c>
      <c r="B219" t="str">
        <f t="shared" si="3"/>
        <v>Ú</v>
      </c>
    </row>
    <row r="220" spans="1:2">
      <c r="A220">
        <v>219</v>
      </c>
      <c r="B220" t="str">
        <f t="shared" si="3"/>
        <v>Û</v>
      </c>
    </row>
    <row r="221" spans="1:2">
      <c r="A221">
        <v>220</v>
      </c>
      <c r="B221" t="str">
        <f t="shared" si="3"/>
        <v>Ü</v>
      </c>
    </row>
    <row r="222" spans="1:2">
      <c r="A222">
        <v>221</v>
      </c>
      <c r="B222" t="str">
        <f t="shared" si="3"/>
        <v>Ý</v>
      </c>
    </row>
    <row r="223" spans="1:2">
      <c r="A223">
        <v>222</v>
      </c>
      <c r="B223" t="str">
        <f t="shared" si="3"/>
        <v>Þ</v>
      </c>
    </row>
    <row r="224" spans="1:2">
      <c r="A224">
        <v>223</v>
      </c>
      <c r="B224" t="str">
        <f t="shared" si="3"/>
        <v>ß</v>
      </c>
    </row>
    <row r="225" spans="1:2">
      <c r="A225">
        <v>224</v>
      </c>
      <c r="B225" t="str">
        <f t="shared" si="3"/>
        <v>à</v>
      </c>
    </row>
    <row r="226" spans="1:2">
      <c r="A226">
        <v>225</v>
      </c>
      <c r="B226" t="str">
        <f t="shared" si="3"/>
        <v>á</v>
      </c>
    </row>
    <row r="227" spans="1:2">
      <c r="A227">
        <v>226</v>
      </c>
      <c r="B227" t="str">
        <f t="shared" si="3"/>
        <v>â</v>
      </c>
    </row>
    <row r="228" spans="1:2">
      <c r="A228">
        <v>227</v>
      </c>
      <c r="B228" t="str">
        <f t="shared" si="3"/>
        <v>ã</v>
      </c>
    </row>
    <row r="229" spans="1:2">
      <c r="A229">
        <v>228</v>
      </c>
      <c r="B229" t="str">
        <f t="shared" si="3"/>
        <v>ä</v>
      </c>
    </row>
    <row r="230" spans="1:2">
      <c r="A230">
        <v>229</v>
      </c>
      <c r="B230" t="str">
        <f t="shared" si="3"/>
        <v>å</v>
      </c>
    </row>
    <row r="231" spans="1:2">
      <c r="A231">
        <v>230</v>
      </c>
      <c r="B231" t="str">
        <f t="shared" si="3"/>
        <v>æ</v>
      </c>
    </row>
    <row r="232" spans="1:2">
      <c r="A232">
        <v>231</v>
      </c>
      <c r="B232" t="str">
        <f t="shared" si="3"/>
        <v>ç</v>
      </c>
    </row>
    <row r="233" spans="1:2">
      <c r="A233">
        <v>232</v>
      </c>
      <c r="B233" t="str">
        <f t="shared" si="3"/>
        <v>è</v>
      </c>
    </row>
    <row r="234" spans="1:2">
      <c r="A234">
        <v>233</v>
      </c>
      <c r="B234" t="str">
        <f t="shared" si="3"/>
        <v>é</v>
      </c>
    </row>
    <row r="235" spans="1:2">
      <c r="A235">
        <v>234</v>
      </c>
      <c r="B235" t="str">
        <f t="shared" si="3"/>
        <v>ê</v>
      </c>
    </row>
    <row r="236" spans="1:2">
      <c r="A236">
        <v>235</v>
      </c>
      <c r="B236" t="str">
        <f t="shared" si="3"/>
        <v>ë</v>
      </c>
    </row>
    <row r="237" spans="1:2">
      <c r="A237">
        <v>236</v>
      </c>
      <c r="B237" t="str">
        <f t="shared" si="3"/>
        <v>ì</v>
      </c>
    </row>
    <row r="238" spans="1:2">
      <c r="A238">
        <v>237</v>
      </c>
      <c r="B238" t="str">
        <f t="shared" si="3"/>
        <v>í</v>
      </c>
    </row>
    <row r="239" spans="1:2">
      <c r="A239">
        <v>238</v>
      </c>
      <c r="B239" t="str">
        <f t="shared" si="3"/>
        <v>î</v>
      </c>
    </row>
    <row r="240" spans="1:2">
      <c r="A240">
        <v>239</v>
      </c>
      <c r="B240" t="str">
        <f t="shared" si="3"/>
        <v>ï</v>
      </c>
    </row>
    <row r="241" spans="1:2">
      <c r="A241">
        <v>240</v>
      </c>
      <c r="B241" t="str">
        <f t="shared" si="3"/>
        <v>ð</v>
      </c>
    </row>
    <row r="242" spans="1:2">
      <c r="A242">
        <v>241</v>
      </c>
      <c r="B242" t="str">
        <f t="shared" si="3"/>
        <v>ñ</v>
      </c>
    </row>
    <row r="243" spans="1:2">
      <c r="A243">
        <v>242</v>
      </c>
      <c r="B243" t="str">
        <f t="shared" si="3"/>
        <v>ò</v>
      </c>
    </row>
    <row r="244" spans="1:2">
      <c r="A244">
        <v>243</v>
      </c>
      <c r="B244" t="str">
        <f t="shared" si="3"/>
        <v>ó</v>
      </c>
    </row>
    <row r="245" spans="1:2">
      <c r="A245">
        <v>244</v>
      </c>
      <c r="B245" t="str">
        <f t="shared" si="3"/>
        <v>ô</v>
      </c>
    </row>
    <row r="246" spans="1:2">
      <c r="A246">
        <v>245</v>
      </c>
      <c r="B246" t="str">
        <f t="shared" si="3"/>
        <v>õ</v>
      </c>
    </row>
    <row r="247" spans="1:2">
      <c r="A247">
        <v>246</v>
      </c>
      <c r="B247" t="str">
        <f t="shared" si="3"/>
        <v>ö</v>
      </c>
    </row>
    <row r="248" spans="1:2">
      <c r="A248">
        <v>247</v>
      </c>
      <c r="B248" t="str">
        <f t="shared" si="3"/>
        <v>÷</v>
      </c>
    </row>
    <row r="249" spans="1:2">
      <c r="A249">
        <v>248</v>
      </c>
      <c r="B249" t="str">
        <f t="shared" si="3"/>
        <v>ø</v>
      </c>
    </row>
    <row r="250" spans="1:2">
      <c r="A250">
        <v>249</v>
      </c>
      <c r="B250" t="str">
        <f t="shared" si="3"/>
        <v>ù</v>
      </c>
    </row>
    <row r="251" spans="1:2">
      <c r="A251">
        <v>250</v>
      </c>
      <c r="B251" t="str">
        <f t="shared" si="3"/>
        <v>ú</v>
      </c>
    </row>
    <row r="252" spans="1:2">
      <c r="A252">
        <v>251</v>
      </c>
      <c r="B252" t="str">
        <f t="shared" si="3"/>
        <v>û</v>
      </c>
    </row>
    <row r="253" spans="1:2">
      <c r="A253">
        <v>252</v>
      </c>
      <c r="B253" t="str">
        <f t="shared" si="3"/>
        <v>ü</v>
      </c>
    </row>
    <row r="254" spans="1:2">
      <c r="A254">
        <v>253</v>
      </c>
      <c r="B254" t="str">
        <f t="shared" si="3"/>
        <v>ý</v>
      </c>
    </row>
    <row r="255" spans="1:2">
      <c r="A255">
        <v>254</v>
      </c>
      <c r="B255" t="str">
        <f t="shared" si="3"/>
        <v>þ</v>
      </c>
    </row>
    <row r="256" spans="1:2">
      <c r="A256">
        <v>255</v>
      </c>
      <c r="B256" t="str">
        <f t="shared" si="3"/>
        <v>ÿ</v>
      </c>
    </row>
  </sheetData>
  <mergeCells count="1">
    <mergeCell ref="D2:I4"/>
  </mergeCell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E10"/>
  <sheetViews>
    <sheetView zoomScale="150" zoomScaleNormal="150" workbookViewId="0">
      <selection activeCell="E4" sqref="E4"/>
    </sheetView>
  </sheetViews>
  <sheetFormatPr defaultRowHeight="15"/>
  <cols>
    <col min="2" max="2" width="10.5703125" bestFit="1" customWidth="1"/>
    <col min="3" max="3" width="11" bestFit="1" customWidth="1"/>
    <col min="4" max="4" width="11.5703125" bestFit="1" customWidth="1"/>
  </cols>
  <sheetData>
    <row r="2" spans="2:5">
      <c r="B2" s="8" t="s">
        <v>30</v>
      </c>
      <c r="C2" s="8" t="s">
        <v>31</v>
      </c>
      <c r="D2" s="8" t="s">
        <v>32</v>
      </c>
    </row>
    <row r="3" spans="2:5">
      <c r="B3" s="10">
        <v>41700</v>
      </c>
      <c r="C3" s="3">
        <f ca="1">RANDBETWEEN(1,50)</f>
        <v>6</v>
      </c>
      <c r="D3" s="11" t="str">
        <f ca="1">REPT("|",C3)</f>
        <v>||||||</v>
      </c>
      <c r="E3" t="s">
        <v>33</v>
      </c>
    </row>
    <row r="4" spans="2:5">
      <c r="B4" s="10">
        <f>B3+1</f>
        <v>41701</v>
      </c>
      <c r="C4" s="3">
        <f t="shared" ref="C4:C10" ca="1" si="0">RANDBETWEEN(1,50)</f>
        <v>33</v>
      </c>
      <c r="D4" s="11" t="str">
        <f t="shared" ref="D4:D10" ca="1" si="1">REPT("|",C4)</f>
        <v>|||||||||||||||||||||||||||||||||</v>
      </c>
    </row>
    <row r="5" spans="2:5">
      <c r="B5" s="10">
        <f t="shared" ref="B5:B10" si="2">B4+1</f>
        <v>41702</v>
      </c>
      <c r="C5" s="3">
        <f t="shared" ca="1" si="0"/>
        <v>30</v>
      </c>
      <c r="D5" s="11" t="str">
        <f t="shared" ca="1" si="1"/>
        <v>||||||||||||||||||||||||||||||</v>
      </c>
    </row>
    <row r="6" spans="2:5">
      <c r="B6" s="10">
        <f t="shared" si="2"/>
        <v>41703</v>
      </c>
      <c r="C6" s="3">
        <f t="shared" ca="1" si="0"/>
        <v>14</v>
      </c>
      <c r="D6" s="11" t="str">
        <f t="shared" ca="1" si="1"/>
        <v>||||||||||||||</v>
      </c>
    </row>
    <row r="7" spans="2:5">
      <c r="B7" s="10">
        <f t="shared" si="2"/>
        <v>41704</v>
      </c>
      <c r="C7" s="3">
        <f ca="1">RANDBETWEEN(1,50)</f>
        <v>7</v>
      </c>
      <c r="D7" s="11" t="str">
        <f t="shared" ca="1" si="1"/>
        <v>|||||||</v>
      </c>
    </row>
    <row r="8" spans="2:5">
      <c r="B8" s="10">
        <f t="shared" si="2"/>
        <v>41705</v>
      </c>
      <c r="C8" s="3">
        <f t="shared" ca="1" si="0"/>
        <v>16</v>
      </c>
      <c r="D8" s="11" t="str">
        <f t="shared" ca="1" si="1"/>
        <v>||||||||||||||||</v>
      </c>
    </row>
    <row r="9" spans="2:5">
      <c r="B9" s="10">
        <f t="shared" si="2"/>
        <v>41706</v>
      </c>
      <c r="C9" s="3">
        <f t="shared" ca="1" si="0"/>
        <v>10</v>
      </c>
      <c r="D9" s="11" t="str">
        <f t="shared" ca="1" si="1"/>
        <v>||||||||||</v>
      </c>
    </row>
    <row r="10" spans="2:5">
      <c r="B10" s="10">
        <f t="shared" si="2"/>
        <v>41707</v>
      </c>
      <c r="C10" s="3">
        <f t="shared" ca="1" si="0"/>
        <v>42</v>
      </c>
      <c r="D10" s="11" t="str">
        <f t="shared" ca="1" si="1"/>
        <v>||||||||||||||||||||||||||||||||||||||||||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4:G14"/>
  <sheetViews>
    <sheetView topLeftCell="A3" zoomScale="139" zoomScaleNormal="139" workbookViewId="0">
      <selection activeCell="C5" sqref="C5:C14"/>
    </sheetView>
  </sheetViews>
  <sheetFormatPr defaultRowHeight="15"/>
  <cols>
    <col min="5" max="5" width="13.140625" bestFit="1" customWidth="1"/>
  </cols>
  <sheetData>
    <row r="4" spans="2:7">
      <c r="B4" t="s">
        <v>45</v>
      </c>
      <c r="C4" t="s">
        <v>50</v>
      </c>
      <c r="E4" t="s">
        <v>45</v>
      </c>
    </row>
    <row r="5" spans="2:7">
      <c r="B5" t="s">
        <v>19</v>
      </c>
      <c r="C5" t="str">
        <f>IF(N(B5)=0,"",B5)</f>
        <v/>
      </c>
      <c r="D5">
        <f>IF(ISTEXT(INDEX($B$5:$B$14,MATCH(B5,$B$5:$B$14,0)+1)),"",INDEX($B$5:$B$14,MATCH(B5,$B$5:$B$14,0)+1))</f>
        <v>111</v>
      </c>
      <c r="E5" s="1" t="s">
        <v>19</v>
      </c>
      <c r="F5" t="str">
        <f>IF(ISTEXT(INDEX($B$5:$B$14,MATCH(D5,$B$5:$B$14,0)+1)),"",INDEX($B$5:$B$14,MATCH(D5,$B$5:$B$14,0)+1))</f>
        <v/>
      </c>
      <c r="G5" t="str">
        <f>IF(ISNUMBER(E5),E4,"")</f>
        <v/>
      </c>
    </row>
    <row r="6" spans="2:7">
      <c r="B6">
        <v>111</v>
      </c>
      <c r="C6">
        <f t="shared" ref="C6:C14" si="0">IF(N(B6)=0,"",B6)</f>
        <v>111</v>
      </c>
      <c r="D6" t="str">
        <f t="shared" ref="D6:D14" si="1">IF(ISTEXT(INDEX($B$5:$B$14,MATCH(B6,$B$5:$B$14,0)+1)),"",INDEX($B$5:$B$14,MATCH(B6,$B$5:$B$14,0)+1))</f>
        <v/>
      </c>
      <c r="E6" s="1">
        <v>111</v>
      </c>
      <c r="F6" t="str">
        <f t="shared" ref="F6:F14" si="2">IF(ROW($E5)=4,"",T(E5))</f>
        <v>Rajesh</v>
      </c>
      <c r="G6" t="str">
        <f t="shared" ref="G6:G14" si="3">IF(ISNUMBER(E6),E5,"")</f>
        <v>Rajesh</v>
      </c>
    </row>
    <row r="7" spans="2:7">
      <c r="B7" t="s">
        <v>46</v>
      </c>
      <c r="C7" t="str">
        <f t="shared" si="0"/>
        <v/>
      </c>
      <c r="D7">
        <f t="shared" si="1"/>
        <v>222</v>
      </c>
      <c r="E7" s="1" t="s">
        <v>46</v>
      </c>
      <c r="F7" t="str">
        <f t="shared" si="2"/>
        <v/>
      </c>
      <c r="G7" t="str">
        <f t="shared" si="3"/>
        <v/>
      </c>
    </row>
    <row r="8" spans="2:7">
      <c r="B8">
        <v>222</v>
      </c>
      <c r="C8">
        <f t="shared" si="0"/>
        <v>222</v>
      </c>
      <c r="D8" t="str">
        <f t="shared" si="1"/>
        <v/>
      </c>
      <c r="E8" s="1">
        <v>222</v>
      </c>
      <c r="F8" t="str">
        <f t="shared" si="2"/>
        <v>Mohit</v>
      </c>
      <c r="G8" t="str">
        <f t="shared" si="3"/>
        <v>Mohit</v>
      </c>
    </row>
    <row r="9" spans="2:7">
      <c r="B9" t="s">
        <v>47</v>
      </c>
      <c r="C9" t="str">
        <f t="shared" si="0"/>
        <v/>
      </c>
      <c r="D9">
        <f t="shared" si="1"/>
        <v>333</v>
      </c>
      <c r="E9" s="1" t="s">
        <v>47</v>
      </c>
      <c r="F9" t="str">
        <f t="shared" si="2"/>
        <v/>
      </c>
      <c r="G9" t="str">
        <f t="shared" si="3"/>
        <v/>
      </c>
    </row>
    <row r="10" spans="2:7">
      <c r="B10">
        <v>333</v>
      </c>
      <c r="C10">
        <f t="shared" si="0"/>
        <v>333</v>
      </c>
      <c r="D10" t="str">
        <f t="shared" si="1"/>
        <v/>
      </c>
      <c r="E10" s="1">
        <v>333</v>
      </c>
      <c r="F10" t="str">
        <f t="shared" si="2"/>
        <v>Pankaj</v>
      </c>
      <c r="G10" t="str">
        <f t="shared" si="3"/>
        <v>Pankaj</v>
      </c>
    </row>
    <row r="11" spans="2:7">
      <c r="B11" t="s">
        <v>48</v>
      </c>
      <c r="C11" t="str">
        <f t="shared" si="0"/>
        <v/>
      </c>
      <c r="D11">
        <f t="shared" si="1"/>
        <v>444</v>
      </c>
      <c r="E11" s="1" t="s">
        <v>48</v>
      </c>
      <c r="F11" t="str">
        <f t="shared" si="2"/>
        <v/>
      </c>
      <c r="G11" t="str">
        <f t="shared" si="3"/>
        <v/>
      </c>
    </row>
    <row r="12" spans="2:7">
      <c r="B12">
        <v>444</v>
      </c>
      <c r="C12">
        <f t="shared" si="0"/>
        <v>444</v>
      </c>
      <c r="D12" t="str">
        <f t="shared" si="1"/>
        <v/>
      </c>
      <c r="E12" s="1">
        <v>444</v>
      </c>
      <c r="F12" t="str">
        <f t="shared" si="2"/>
        <v>Sunil</v>
      </c>
      <c r="G12" t="str">
        <f t="shared" si="3"/>
        <v>Sunil</v>
      </c>
    </row>
    <row r="13" spans="2:7">
      <c r="B13" t="s">
        <v>49</v>
      </c>
      <c r="C13" t="str">
        <f t="shared" si="0"/>
        <v/>
      </c>
      <c r="D13">
        <f t="shared" si="1"/>
        <v>555</v>
      </c>
      <c r="E13" s="1" t="s">
        <v>49</v>
      </c>
      <c r="F13" t="str">
        <f t="shared" si="2"/>
        <v/>
      </c>
      <c r="G13" t="str">
        <f t="shared" si="3"/>
        <v/>
      </c>
    </row>
    <row r="14" spans="2:7">
      <c r="B14">
        <v>555</v>
      </c>
      <c r="C14">
        <f t="shared" si="0"/>
        <v>555</v>
      </c>
      <c r="D14" t="e">
        <f t="shared" si="1"/>
        <v>#REF!</v>
      </c>
      <c r="E14" s="1">
        <v>555</v>
      </c>
      <c r="F14" t="str">
        <f t="shared" si="2"/>
        <v>Varun</v>
      </c>
      <c r="G14" t="str">
        <f t="shared" si="3"/>
        <v>Varun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L114"/>
  <sheetViews>
    <sheetView topLeftCell="A84" zoomScale="171" zoomScaleNormal="171" workbookViewId="0">
      <selection activeCell="B84" sqref="B84"/>
    </sheetView>
  </sheetViews>
  <sheetFormatPr defaultRowHeight="15"/>
  <cols>
    <col min="1" max="1" width="21.42578125" customWidth="1"/>
    <col min="2" max="2" width="20.7109375" customWidth="1"/>
    <col min="3" max="3" width="11.28515625" customWidth="1"/>
    <col min="4" max="4" width="37.7109375" customWidth="1"/>
    <col min="6" max="6" width="12.140625" bestFit="1" customWidth="1"/>
    <col min="7" max="7" width="11.140625" bestFit="1" customWidth="1"/>
  </cols>
  <sheetData>
    <row r="1" spans="1:12">
      <c r="A1" t="s">
        <v>89</v>
      </c>
    </row>
    <row r="2" spans="1:12">
      <c r="F2" t="s">
        <v>68</v>
      </c>
      <c r="G2" t="e">
        <f>FIND("A",F2,1)</f>
        <v>#VALUE!</v>
      </c>
      <c r="H2" s="3" t="s">
        <v>57</v>
      </c>
      <c r="I2" t="s">
        <v>65</v>
      </c>
      <c r="J2" t="s">
        <v>66</v>
      </c>
      <c r="K2" t="s">
        <v>67</v>
      </c>
    </row>
    <row r="3" spans="1:12">
      <c r="B3" s="8" t="s">
        <v>83</v>
      </c>
      <c r="C3" s="8" t="s">
        <v>84</v>
      </c>
      <c r="G3">
        <f>SEARCH("A",F2)</f>
        <v>1</v>
      </c>
      <c r="H3" s="3" t="s">
        <v>58</v>
      </c>
      <c r="I3" t="s">
        <v>65</v>
      </c>
      <c r="J3" t="s">
        <v>66</v>
      </c>
      <c r="K3" t="s">
        <v>67</v>
      </c>
    </row>
    <row r="4" spans="1:12">
      <c r="A4" t="s">
        <v>82</v>
      </c>
      <c r="B4" t="str">
        <f>LEFT(A4,FIND(" ",A4)-1)</f>
        <v>Anoop</v>
      </c>
      <c r="C4" t="str">
        <f>RIGHT(A4,LEN(A4)-FIND(" ",A4))</f>
        <v>Kumar</v>
      </c>
      <c r="D4">
        <f>FIND(" ",A4)</f>
        <v>6</v>
      </c>
      <c r="E4">
        <f>LEN(A4)</f>
        <v>11</v>
      </c>
      <c r="F4">
        <f>E4-D4</f>
        <v>5</v>
      </c>
      <c r="H4" s="3" t="s">
        <v>59</v>
      </c>
      <c r="I4" t="s">
        <v>69</v>
      </c>
      <c r="J4" t="s">
        <v>70</v>
      </c>
    </row>
    <row r="5" spans="1:12">
      <c r="A5" t="s">
        <v>85</v>
      </c>
      <c r="B5" t="str">
        <f t="shared" ref="B5:B9" si="0">LEFT(A5,FIND(" ",A5)-1)</f>
        <v>sam</v>
      </c>
      <c r="C5" t="str">
        <f t="shared" ref="C5:C9" si="1">RIGHT(A5,LEN(A5)-FIND(" ",A5))</f>
        <v>disuja</v>
      </c>
      <c r="D5">
        <f>FIND(" ",A5)</f>
        <v>4</v>
      </c>
      <c r="E5">
        <f t="shared" ref="E5:E9" si="2">LEN(A5)</f>
        <v>10</v>
      </c>
      <c r="F5">
        <f t="shared" ref="F5:F9" si="3">E5-D5</f>
        <v>6</v>
      </c>
      <c r="H5" s="3" t="s">
        <v>60</v>
      </c>
      <c r="I5" t="s">
        <v>69</v>
      </c>
      <c r="J5" t="s">
        <v>71</v>
      </c>
    </row>
    <row r="6" spans="1:12">
      <c r="A6" t="s">
        <v>86</v>
      </c>
      <c r="B6" t="str">
        <f t="shared" si="0"/>
        <v>Ram</v>
      </c>
      <c r="C6" t="str">
        <f t="shared" si="1"/>
        <v>Pandey</v>
      </c>
      <c r="D6">
        <f>FIND(" ",A6)</f>
        <v>4</v>
      </c>
      <c r="E6">
        <f t="shared" si="2"/>
        <v>10</v>
      </c>
      <c r="F6">
        <f t="shared" si="3"/>
        <v>6</v>
      </c>
      <c r="H6" s="15" t="s">
        <v>61</v>
      </c>
      <c r="I6" s="16" t="s">
        <v>69</v>
      </c>
      <c r="J6" s="16" t="s">
        <v>72</v>
      </c>
      <c r="K6" s="16" t="s">
        <v>73</v>
      </c>
    </row>
    <row r="7" spans="1:12">
      <c r="A7" t="s">
        <v>87</v>
      </c>
      <c r="B7" t="str">
        <f t="shared" si="0"/>
        <v>Pashupati</v>
      </c>
      <c r="C7" t="str">
        <f t="shared" si="1"/>
        <v>Nath</v>
      </c>
      <c r="D7">
        <f t="shared" ref="D7:D9" si="4">FIND(" ",A7)</f>
        <v>10</v>
      </c>
      <c r="E7">
        <f t="shared" si="2"/>
        <v>14</v>
      </c>
      <c r="F7">
        <f t="shared" si="3"/>
        <v>4</v>
      </c>
      <c r="H7" s="3" t="s">
        <v>62</v>
      </c>
      <c r="I7" t="s">
        <v>74</v>
      </c>
      <c r="J7" t="s">
        <v>72</v>
      </c>
      <c r="K7" t="s">
        <v>75</v>
      </c>
      <c r="L7" t="s">
        <v>76</v>
      </c>
    </row>
    <row r="8" spans="1:12">
      <c r="A8" t="s">
        <v>88</v>
      </c>
      <c r="B8" t="str">
        <f t="shared" si="0"/>
        <v>Sachin</v>
      </c>
      <c r="C8" t="str">
        <f t="shared" si="1"/>
        <v>Tendulkar</v>
      </c>
      <c r="D8">
        <f t="shared" si="4"/>
        <v>7</v>
      </c>
      <c r="E8">
        <f t="shared" si="2"/>
        <v>16</v>
      </c>
      <c r="F8">
        <f t="shared" si="3"/>
        <v>9</v>
      </c>
      <c r="H8" s="15" t="s">
        <v>63</v>
      </c>
      <c r="I8" s="16" t="s">
        <v>74</v>
      </c>
      <c r="J8" s="16" t="s">
        <v>77</v>
      </c>
      <c r="K8" s="16" t="s">
        <v>78</v>
      </c>
      <c r="L8" s="16" t="s">
        <v>79</v>
      </c>
    </row>
    <row r="9" spans="1:12">
      <c r="A9" t="s">
        <v>90</v>
      </c>
      <c r="B9" t="str">
        <f t="shared" si="0"/>
        <v>Muthaiya</v>
      </c>
      <c r="C9" t="str">
        <f t="shared" si="1"/>
        <v>Murlidharan</v>
      </c>
      <c r="D9">
        <f t="shared" si="4"/>
        <v>9</v>
      </c>
      <c r="E9">
        <f t="shared" si="2"/>
        <v>20</v>
      </c>
      <c r="F9">
        <f t="shared" si="3"/>
        <v>11</v>
      </c>
      <c r="H9" s="3" t="s">
        <v>64</v>
      </c>
    </row>
    <row r="11" spans="1:12">
      <c r="G11" t="s">
        <v>80</v>
      </c>
      <c r="H11" t="str">
        <f>REPLACE(G11,1,1,"B")</f>
        <v>Bikas Verma</v>
      </c>
      <c r="I11" t="s">
        <v>62</v>
      </c>
    </row>
    <row r="12" spans="1:12" ht="17.25">
      <c r="B12" t="s">
        <v>98</v>
      </c>
      <c r="H12" t="str">
        <f>SUBSTITUTE(G11,"V","B",2)</f>
        <v>Vikas Berma</v>
      </c>
      <c r="I12" t="s">
        <v>63</v>
      </c>
    </row>
    <row r="13" spans="1:12">
      <c r="B13" t="s">
        <v>95</v>
      </c>
    </row>
    <row r="14" spans="1:12">
      <c r="A14" t="s">
        <v>91</v>
      </c>
      <c r="B14" t="str">
        <f>RIGHT(A14,LEN(A14)-FIND(" ",A14))</f>
        <v>Manohar Joshi</v>
      </c>
      <c r="C14" t="str">
        <f>TRIM(LEFT(B14,FIND(" ",B14)))</f>
        <v>Manohar</v>
      </c>
      <c r="G14">
        <v>1234567890</v>
      </c>
      <c r="H14" t="str">
        <f>REPLACE(G14,1,6,"XXXXXX")</f>
        <v>XXXXXX7890</v>
      </c>
      <c r="I14" t="s">
        <v>62</v>
      </c>
    </row>
    <row r="15" spans="1:12">
      <c r="A15" t="s">
        <v>92</v>
      </c>
      <c r="B15" t="str">
        <f t="shared" ref="B15:B18" si="5">RIGHT(A15,LEN(A15)-FIND(" ",A15))</f>
        <v>Prashad Yadav</v>
      </c>
      <c r="C15" t="str">
        <f t="shared" ref="C15:C18" si="6">TRIM(LEFT(B15,FIND(" ",B15)))</f>
        <v>Prashad</v>
      </c>
      <c r="H15" t="str">
        <f>SUBSTITUTE(G14,MID(G14,5,2),"xx")</f>
        <v>1234xx7890</v>
      </c>
      <c r="I15" t="s">
        <v>81</v>
      </c>
    </row>
    <row r="16" spans="1:12">
      <c r="A16" t="s">
        <v>93</v>
      </c>
      <c r="B16" t="str">
        <f t="shared" si="5"/>
        <v>Ranjan Singh</v>
      </c>
      <c r="C16" t="str">
        <f t="shared" si="6"/>
        <v>Ranjan</v>
      </c>
    </row>
    <row r="17" spans="1:5">
      <c r="A17" t="s">
        <v>94</v>
      </c>
      <c r="B17" t="str">
        <f t="shared" si="5"/>
        <v>Ramesh Tendulkar</v>
      </c>
      <c r="C17" t="str">
        <f t="shared" si="6"/>
        <v>Ramesh</v>
      </c>
    </row>
    <row r="18" spans="1:5">
      <c r="A18" t="s">
        <v>96</v>
      </c>
      <c r="B18" t="str">
        <f t="shared" si="5"/>
        <v>Bihari Bajapyee</v>
      </c>
      <c r="C18" t="str">
        <f t="shared" si="6"/>
        <v>Bihari</v>
      </c>
    </row>
    <row r="20" spans="1:5">
      <c r="A20" t="s">
        <v>97</v>
      </c>
      <c r="E20" t="s">
        <v>101</v>
      </c>
    </row>
    <row r="21" spans="1:5">
      <c r="B21" t="s">
        <v>99</v>
      </c>
      <c r="C21" t="s">
        <v>95</v>
      </c>
    </row>
    <row r="22" spans="1:5">
      <c r="A22" t="s">
        <v>91</v>
      </c>
      <c r="B22" t="str">
        <f>MID(A22,1,FIND(" ",A22))</f>
        <v xml:space="preserve">Murli </v>
      </c>
      <c r="C22" t="str">
        <f>MID(A22,FIND(" ",A22)+1,FIND(" ",A22,FIND(" ",A22)+1)-FIND(" ",A22))</f>
        <v xml:space="preserve">Manohar </v>
      </c>
      <c r="D22">
        <f>FIND(" ",A22,FIND(" ",A22)+1)</f>
        <v>14</v>
      </c>
      <c r="E22">
        <f>FIND(" ",A22)</f>
        <v>6</v>
      </c>
    </row>
    <row r="23" spans="1:5">
      <c r="A23" t="s">
        <v>92</v>
      </c>
      <c r="B23" t="str">
        <f t="shared" ref="B23:B27" si="7">MID(A23,1,FIND(" ",A23))</f>
        <v xml:space="preserve">Laloo </v>
      </c>
      <c r="C23" t="str">
        <f t="shared" ref="C23:C27" si="8">MID(A23,FIND(" ",A23)+1,FIND(" ",A23,FIND(" ",A23)+1)-FIND(" ",A23))</f>
        <v xml:space="preserve">Prashad </v>
      </c>
      <c r="D23">
        <f t="shared" ref="D23:D26" si="9">FIND(" ",A23,FIND(" ",A23)+1)</f>
        <v>14</v>
      </c>
      <c r="E23">
        <f t="shared" ref="E23:E26" si="10">FIND(" ",A23)</f>
        <v>6</v>
      </c>
    </row>
    <row r="24" spans="1:5">
      <c r="A24" t="s">
        <v>93</v>
      </c>
      <c r="B24" t="str">
        <f t="shared" si="7"/>
        <v xml:space="preserve">Rajiv </v>
      </c>
      <c r="C24" t="str">
        <f t="shared" si="8"/>
        <v xml:space="preserve">Ranjan </v>
      </c>
      <c r="D24">
        <f t="shared" si="9"/>
        <v>13</v>
      </c>
      <c r="E24">
        <f t="shared" si="10"/>
        <v>6</v>
      </c>
    </row>
    <row r="25" spans="1:5">
      <c r="A25" t="s">
        <v>94</v>
      </c>
      <c r="B25" t="str">
        <f t="shared" si="7"/>
        <v xml:space="preserve">Sachin </v>
      </c>
      <c r="C25" t="str">
        <f t="shared" si="8"/>
        <v xml:space="preserve">Ramesh </v>
      </c>
      <c r="D25">
        <f t="shared" si="9"/>
        <v>14</v>
      </c>
      <c r="E25">
        <f t="shared" si="10"/>
        <v>7</v>
      </c>
    </row>
    <row r="26" spans="1:5">
      <c r="A26" t="s">
        <v>96</v>
      </c>
      <c r="B26" t="str">
        <f t="shared" si="7"/>
        <v xml:space="preserve">Atal </v>
      </c>
      <c r="C26" t="str">
        <f t="shared" si="8"/>
        <v xml:space="preserve">Bihari </v>
      </c>
      <c r="D26">
        <f t="shared" si="9"/>
        <v>12</v>
      </c>
      <c r="E26">
        <f t="shared" si="10"/>
        <v>5</v>
      </c>
    </row>
    <row r="27" spans="1:5">
      <c r="A27" t="s">
        <v>100</v>
      </c>
      <c r="B27" t="str">
        <f t="shared" si="7"/>
        <v xml:space="preserve">Prakash </v>
      </c>
      <c r="C27" t="e">
        <f t="shared" si="8"/>
        <v>#VALUE!</v>
      </c>
    </row>
    <row r="29" spans="1:5">
      <c r="B29" t="s">
        <v>84</v>
      </c>
      <c r="C29" t="s">
        <v>106</v>
      </c>
    </row>
    <row r="30" spans="1:5">
      <c r="A30" t="s">
        <v>91</v>
      </c>
      <c r="B30" t="str">
        <f>TRIM(MID(A30,FIND(" ",A30,FIND(" ",A30)+1),LEN(A30)))</f>
        <v>Joshi</v>
      </c>
    </row>
    <row r="31" spans="1:5">
      <c r="A31" t="s">
        <v>92</v>
      </c>
      <c r="B31" t="str">
        <f t="shared" ref="B31:B34" si="11">TRIM(MID(A31,FIND(" ",A31,FIND(" ",A31)+1),LEN(A31)))</f>
        <v>Yadav</v>
      </c>
    </row>
    <row r="32" spans="1:5">
      <c r="A32" t="s">
        <v>93</v>
      </c>
      <c r="B32" t="str">
        <f t="shared" si="11"/>
        <v>Singh</v>
      </c>
    </row>
    <row r="33" spans="1:5">
      <c r="A33" t="s">
        <v>94</v>
      </c>
      <c r="B33" t="str">
        <f t="shared" si="11"/>
        <v>Tendulkar</v>
      </c>
    </row>
    <row r="34" spans="1:5">
      <c r="A34" t="s">
        <v>96</v>
      </c>
      <c r="B34" t="str">
        <f t="shared" si="11"/>
        <v>Bajapyee</v>
      </c>
    </row>
    <row r="37" spans="1:5">
      <c r="B37" t="s">
        <v>105</v>
      </c>
    </row>
    <row r="38" spans="1:5">
      <c r="A38" t="s">
        <v>91</v>
      </c>
      <c r="B38" t="str">
        <f t="array" ref="B38:E38">TRIM(MID(SUBSTITUTE(" "&amp;A38," ",REPT(" ",255)),{1,2,3,4}*255,255))</f>
        <v>Murli</v>
      </c>
      <c r="C38" t="str">
        <v>Manohar</v>
      </c>
      <c r="D38" t="str">
        <v>Joshi</v>
      </c>
      <c r="E38" t="str">
        <v/>
      </c>
    </row>
    <row r="39" spans="1:5">
      <c r="A39" t="s">
        <v>102</v>
      </c>
      <c r="B39" t="str">
        <f t="array" ref="B39:E39">TRIM(MID(SUBSTITUTE(" "&amp;A39," ",REPT(" ",255)),{1,2,3,4}*255,255))</f>
        <v>Mukesh</v>
      </c>
      <c r="C39" t="str">
        <v>Gupta</v>
      </c>
      <c r="D39" t="str">
        <v/>
      </c>
      <c r="E39" t="str">
        <v/>
      </c>
    </row>
    <row r="40" spans="1:5">
      <c r="A40" t="s">
        <v>103</v>
      </c>
      <c r="B40" t="str">
        <f t="array" ref="B40:E40">TRIM(MID(SUBSTITUTE(" "&amp;A40," ",REPT(" ",255)),{1,2,3,4}*255,255))</f>
        <v>Raja</v>
      </c>
      <c r="C40" t="str">
        <v>Ram</v>
      </c>
      <c r="D40" t="str">
        <v>Mohan</v>
      </c>
      <c r="E40" t="str">
        <v>Roy</v>
      </c>
    </row>
    <row r="41" spans="1:5">
      <c r="A41" t="s">
        <v>104</v>
      </c>
      <c r="B41" t="str">
        <f t="array" ref="B41:E41">TRIM(MID(SUBSTITUTE(" "&amp;A41," ",REPT(" ",255)),{1,2,3,4}*255,255))</f>
        <v>APG</v>
      </c>
      <c r="C41" t="str">
        <v>Abdul</v>
      </c>
      <c r="D41" t="str">
        <v>Kalam</v>
      </c>
      <c r="E41" t="str">
        <v>Azad</v>
      </c>
    </row>
    <row r="42" spans="1:5">
      <c r="A42" t="s">
        <v>110</v>
      </c>
      <c r="B42" t="str">
        <f t="array" ref="B42:E42">TRIM(MID(SUBSTITUTE(" "&amp;A42," ",REPT(" ",255)),{1,2,3,4}*255,255))</f>
        <v>Akhilesh</v>
      </c>
      <c r="C42" t="str">
        <v>Kumar</v>
      </c>
      <c r="D42" t="str">
        <v>Yadav</v>
      </c>
      <c r="E42" t="str">
        <v/>
      </c>
    </row>
    <row r="45" spans="1:5">
      <c r="A45" t="s">
        <v>91</v>
      </c>
      <c r="B45" t="str">
        <f>TRIM(MID(SUBSTITUTE(" "&amp;A45," ",REPT(" ",255)),1*255,255))</f>
        <v>Murli</v>
      </c>
    </row>
    <row r="47" spans="1:5">
      <c r="B47" t="s">
        <v>107</v>
      </c>
    </row>
    <row r="50" spans="1:6">
      <c r="C50" t="s">
        <v>69</v>
      </c>
    </row>
    <row r="52" spans="1:6">
      <c r="F52" t="s">
        <v>108</v>
      </c>
    </row>
    <row r="53" spans="1:6">
      <c r="C53" t="s">
        <v>109</v>
      </c>
    </row>
    <row r="54" spans="1:6">
      <c r="A54" t="s">
        <v>91</v>
      </c>
      <c r="B54" t="str">
        <f>" "&amp;A54</f>
        <v xml:space="preserve"> Murli Manohar Joshi</v>
      </c>
    </row>
    <row r="55" spans="1:6">
      <c r="A55" t="s">
        <v>91</v>
      </c>
      <c r="B55" t="str">
        <f>SUBSTITUTE(" "&amp;A45," ",REPT(" ",255))</f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Murli                                                                                                                                                                                                                                                               Manohar                                                                                                                                                                                                                                                               Joshi</v>
      </c>
    </row>
    <row r="56" spans="1:6">
      <c r="A56" t="s">
        <v>91</v>
      </c>
      <c r="B56" t="str">
        <f>TRIM(MID(SUBSTITUTE(" "&amp;A45," ",REPT(" ",255)),3*255,255))</f>
        <v>Joshi</v>
      </c>
    </row>
    <row r="58" spans="1:6">
      <c r="B58" t="s">
        <v>84</v>
      </c>
    </row>
    <row r="59" spans="1:6">
      <c r="A59" s="17" t="s">
        <v>91</v>
      </c>
      <c r="B59" t="str">
        <f>RIGHT(A59,LEN(A59)-FIND("?",SUBSTITUTE(A59," ","?",LEN(A59)-LEN(SUBSTITUTE(A59," ","")))))</f>
        <v>Joshi</v>
      </c>
      <c r="C59">
        <f>FIND("*",SUBSTITUTE(A59," ","*",LEN(A59)-LEN(SUBSTITUTE(A59," ",""))))</f>
        <v>14</v>
      </c>
      <c r="D59" t="str">
        <f>RIGHT(A59,LEN(A59)-FIND("*",SUBSTITUTE(A59," ","*",LEN(A59)-LEN(SUBSTITUTE(A59," ","")))))</f>
        <v>Joshi</v>
      </c>
      <c r="E59">
        <f>LEN(A59)-LEN(SUBSTITUTE(A59," ",""))</f>
        <v>2</v>
      </c>
    </row>
    <row r="60" spans="1:6">
      <c r="A60" s="17" t="s">
        <v>102</v>
      </c>
      <c r="B60" t="str">
        <f t="shared" ref="B60:B65" si="12">RIGHT(A60,LEN(A60)-FIND("?",SUBSTITUTE(A60," ","?",LEN(A60)-LEN(SUBSTITUTE(A60," ","")))))</f>
        <v>Gupta</v>
      </c>
      <c r="C60">
        <f t="shared" ref="C60:C65" si="13">FIND("*",SUBSTITUTE(A60," ","*",LEN(A60)-LEN(SUBSTITUTE(A60," ",""))))</f>
        <v>7</v>
      </c>
      <c r="D60" t="str">
        <f t="shared" ref="D60:D65" si="14">RIGHT(A60,LEN(A60)-FIND("*",SUBSTITUTE(A60," ","*",LEN(A60)-LEN(SUBSTITUTE(A60," ","")))))</f>
        <v>Gupta</v>
      </c>
      <c r="E60">
        <f t="shared" ref="E60:E65" si="15">LEN(A60)-LEN(SUBSTITUTE(A60," ",""))</f>
        <v>1</v>
      </c>
    </row>
    <row r="61" spans="1:6">
      <c r="A61" s="17" t="s">
        <v>103</v>
      </c>
      <c r="B61" t="str">
        <f t="shared" si="12"/>
        <v>Roy</v>
      </c>
      <c r="C61">
        <f t="shared" si="13"/>
        <v>15</v>
      </c>
      <c r="D61" t="str">
        <f t="shared" si="14"/>
        <v>Roy</v>
      </c>
      <c r="E61">
        <f t="shared" si="15"/>
        <v>3</v>
      </c>
    </row>
    <row r="62" spans="1:6">
      <c r="A62" s="17" t="s">
        <v>112</v>
      </c>
      <c r="B62" t="str">
        <f t="shared" si="12"/>
        <v>Azad</v>
      </c>
      <c r="C62">
        <f t="shared" si="13"/>
        <v>38</v>
      </c>
      <c r="D62" t="str">
        <f t="shared" si="14"/>
        <v>Azad</v>
      </c>
      <c r="E62">
        <f t="shared" si="15"/>
        <v>6</v>
      </c>
    </row>
    <row r="63" spans="1:6">
      <c r="A63" s="17" t="s">
        <v>110</v>
      </c>
      <c r="B63" t="str">
        <f t="shared" si="12"/>
        <v>Yadav</v>
      </c>
      <c r="C63">
        <f t="shared" si="13"/>
        <v>15</v>
      </c>
      <c r="D63" t="str">
        <f t="shared" si="14"/>
        <v>Yadav</v>
      </c>
      <c r="E63">
        <f t="shared" si="15"/>
        <v>2</v>
      </c>
    </row>
    <row r="64" spans="1:6">
      <c r="A64" s="17" t="s">
        <v>93</v>
      </c>
      <c r="B64" t="str">
        <f t="shared" si="12"/>
        <v>Singh</v>
      </c>
      <c r="C64">
        <f t="shared" si="13"/>
        <v>13</v>
      </c>
      <c r="D64" t="str">
        <f t="shared" si="14"/>
        <v>Singh</v>
      </c>
      <c r="E64">
        <f t="shared" si="15"/>
        <v>2</v>
      </c>
    </row>
    <row r="65" spans="1:5">
      <c r="A65" s="17" t="s">
        <v>111</v>
      </c>
      <c r="B65" t="str">
        <f t="shared" si="12"/>
        <v>Prashad</v>
      </c>
      <c r="C65">
        <f t="shared" si="13"/>
        <v>5</v>
      </c>
      <c r="D65" t="str">
        <f t="shared" si="14"/>
        <v>Prashad</v>
      </c>
      <c r="E65">
        <f t="shared" si="15"/>
        <v>1</v>
      </c>
    </row>
    <row r="68" spans="1:5">
      <c r="A68" t="s">
        <v>113</v>
      </c>
    </row>
    <row r="78" spans="1:5">
      <c r="A78" s="17" t="s">
        <v>103</v>
      </c>
      <c r="B78">
        <f>LEN(A78)</f>
        <v>18</v>
      </c>
      <c r="C78">
        <f>LEN(SUBSTITUTE(A78," ",""))</f>
        <v>15</v>
      </c>
      <c r="D78">
        <f>B78-C78</f>
        <v>3</v>
      </c>
    </row>
    <row r="79" spans="1:5">
      <c r="C79" t="s">
        <v>119</v>
      </c>
    </row>
    <row r="80" spans="1:5">
      <c r="A80" s="3" t="s">
        <v>91</v>
      </c>
      <c r="B80" s="3" t="s">
        <v>114</v>
      </c>
      <c r="C80" t="str">
        <f>LEFT(A80)&amp;MID(A80,FIND(" ",A80)+1,1)</f>
        <v>MM</v>
      </c>
      <c r="D80" t="str">
        <f>RIGHT(A80,LEN(A80)-FIND("*",SUBSTITUTE(A80," ","*",LEN(A80)-LEN(SUBSTITUTE(A80," ","")))))</f>
        <v>Joshi</v>
      </c>
      <c r="E80" t="str">
        <f>CONCATENATE(C80," ",D80)</f>
        <v>MM Joshi</v>
      </c>
    </row>
    <row r="81" spans="1:5">
      <c r="A81" s="3" t="s">
        <v>92</v>
      </c>
      <c r="B81" s="3" t="s">
        <v>115</v>
      </c>
      <c r="C81" t="str">
        <f t="shared" ref="C81:C84" si="16">LEFT(A81)&amp;MID(A81,FIND(" ",A81)+1,1)</f>
        <v>LP</v>
      </c>
      <c r="D81" t="str">
        <f t="shared" ref="D81:D84" si="17">RIGHT(A81,LEN(A81)-FIND("*",SUBSTITUTE(A81," ","*",LEN(A81)-LEN(SUBSTITUTE(A81," ","")))))</f>
        <v>Yadav</v>
      </c>
      <c r="E81" t="str">
        <f t="shared" ref="E81:E85" si="18">CONCATENATE(C81," ",D81)</f>
        <v>LP Yadav</v>
      </c>
    </row>
    <row r="82" spans="1:5">
      <c r="A82" s="3" t="s">
        <v>93</v>
      </c>
      <c r="B82" s="3" t="s">
        <v>116</v>
      </c>
      <c r="C82" t="str">
        <f t="shared" si="16"/>
        <v>RR</v>
      </c>
      <c r="D82" t="str">
        <f t="shared" si="17"/>
        <v>Singh</v>
      </c>
      <c r="E82" t="str">
        <f t="shared" si="18"/>
        <v>RR Singh</v>
      </c>
    </row>
    <row r="83" spans="1:5">
      <c r="A83" s="3" t="s">
        <v>94</v>
      </c>
      <c r="B83" s="3" t="s">
        <v>117</v>
      </c>
      <c r="C83" t="str">
        <f t="shared" si="16"/>
        <v>SR</v>
      </c>
      <c r="D83" t="str">
        <f t="shared" si="17"/>
        <v>Tendulkar</v>
      </c>
      <c r="E83" t="str">
        <f t="shared" si="18"/>
        <v>SR Tendulkar</v>
      </c>
    </row>
    <row r="84" spans="1:5">
      <c r="A84" s="3" t="s">
        <v>96</v>
      </c>
      <c r="B84" s="3" t="s">
        <v>118</v>
      </c>
      <c r="C84" t="str">
        <f t="shared" si="16"/>
        <v>AB</v>
      </c>
      <c r="D84" t="str">
        <f t="shared" si="17"/>
        <v>Bajapyee</v>
      </c>
      <c r="E84" t="str">
        <f t="shared" si="18"/>
        <v>AB Bajapyee</v>
      </c>
    </row>
    <row r="85" spans="1:5">
      <c r="E85" t="str">
        <f t="shared" si="18"/>
        <v xml:space="preserve"> </v>
      </c>
    </row>
    <row r="87" spans="1:5">
      <c r="A87" s="18" t="s">
        <v>74</v>
      </c>
      <c r="B87" s="18" t="s">
        <v>50</v>
      </c>
      <c r="C87" s="18" t="s">
        <v>127</v>
      </c>
    </row>
    <row r="88" spans="1:5">
      <c r="A88" t="s">
        <v>120</v>
      </c>
      <c r="B88" t="str">
        <f>MID(A88,MIN(FIND({0,1,2,3,4,5,6,7,8,9},A88&amp;"0,1,2,3,4,5,6,7,8,9")),LEN(A88))</f>
        <v>22330</v>
      </c>
      <c r="C88" t="str">
        <f>LEFT(A88,LEN(A88)-LEN(B88))</f>
        <v>Prakash</v>
      </c>
      <c r="D88" t="s">
        <v>237</v>
      </c>
    </row>
    <row r="89" spans="1:5">
      <c r="A89" t="s">
        <v>121</v>
      </c>
      <c r="B89" t="str">
        <f>MID(A89,MIN(FIND({0,1,2,3,4,5,6,7,8,9},A89&amp;"0,1,2,3,4,5,6,7,8,9")),LEN(A89))</f>
        <v>43436</v>
      </c>
      <c r="C89" t="str">
        <f t="shared" ref="C89:C94" si="19">LEFT(A89,LEN(A89)-LEN(B89))</f>
        <v>Mohit</v>
      </c>
      <c r="D89" t="e">
        <f>--(D88)</f>
        <v>#VALUE!</v>
      </c>
    </row>
    <row r="90" spans="1:5">
      <c r="A90" t="s">
        <v>122</v>
      </c>
      <c r="B90" t="str">
        <f>MID(A90,MIN(FIND({0,1,2,3,4,5,6,7,8,9},A90&amp;"0,1,2,3,4,5,6,7,8,9")),LEN(A90))</f>
        <v>13345</v>
      </c>
      <c r="C90" t="str">
        <f t="shared" si="19"/>
        <v>Punit</v>
      </c>
      <c r="D90" t="b">
        <f>ISNUMBER(ABS(D88))</f>
        <v>0</v>
      </c>
    </row>
    <row r="91" spans="1:5">
      <c r="A91" t="s">
        <v>123</v>
      </c>
      <c r="B91" t="str">
        <f>MID(A91,MIN(FIND({0,1,2,3,4,5,6,7,8,9},A91&amp;"0,1,2,3,4,5,6,7,8,9")),LEN(A91))</f>
        <v>64543</v>
      </c>
      <c r="C91" t="str">
        <f t="shared" si="19"/>
        <v>Raju</v>
      </c>
    </row>
    <row r="92" spans="1:5">
      <c r="A92" t="s">
        <v>124</v>
      </c>
      <c r="B92" t="str">
        <f>MID(A92,MIN(FIND({0,1,2,3,4,5,6,7,8,9},A92&amp;"0,1,2,3,4,5,6,7,8,9")),LEN(A92))</f>
        <v>45345</v>
      </c>
      <c r="C92" t="str">
        <f t="shared" si="19"/>
        <v>Sanjeet</v>
      </c>
    </row>
    <row r="93" spans="1:5">
      <c r="A93" t="s">
        <v>125</v>
      </c>
      <c r="B93" t="str">
        <f>MID(A93,MIN(FIND({0,1,2,3,4,5,6,7,8,9},A93&amp;"0,1,2,3,4,5,6,7,8,9")),LEN(A93))</f>
        <v>63443</v>
      </c>
      <c r="C93" t="str">
        <f t="shared" si="19"/>
        <v>Kamal</v>
      </c>
    </row>
    <row r="94" spans="1:5">
      <c r="A94" t="s">
        <v>126</v>
      </c>
      <c r="B94" t="str">
        <f>MID(A94,MIN(FIND({0,1,2,3,4,5,6,7,8,9},A94&amp;"0,1,2,3,4,5,6,7,8,9")),LEN(A94))</f>
        <v>64657</v>
      </c>
      <c r="C94" t="str">
        <f t="shared" si="19"/>
        <v>Paramjeet</v>
      </c>
    </row>
    <row r="96" spans="1:5">
      <c r="B96" t="s">
        <v>50</v>
      </c>
    </row>
    <row r="97" spans="1:3">
      <c r="A97" t="s">
        <v>133</v>
      </c>
      <c r="B97">
        <f t="array" ref="B97">LOOKUP(9E+307,1*LEFT(MID(A97,MIN(FIND({0,1,2,3,4,5,6,7,8,9},A97&amp;"0,1,2,3,4,5,6,7,8,9")),LEN(A97)),ROW($1:$5)))</f>
        <v>22330</v>
      </c>
    </row>
    <row r="98" spans="1:3">
      <c r="A98" t="s">
        <v>128</v>
      </c>
      <c r="B98">
        <f t="array" ref="B98">LOOKUP(9E+307,1*LEFT(MID(A98,MIN(FIND({0,1,2,3,4,5,6,7,8,9},A98&amp;"0,1,2,3,4,5,6,7,8,9")),LEN(A98)),ROW($1:$5)))</f>
        <v>12345</v>
      </c>
    </row>
    <row r="99" spans="1:3">
      <c r="A99" t="s">
        <v>129</v>
      </c>
      <c r="B99">
        <f t="array" ref="B99">LOOKUP(9E+307,1*LEFT(MID(A99,MIN(FIND({0,1,2,3,4,5,6,7,8,9},A99&amp;"0,1,2,3,4,5,6,7,8,9")),LEN(A99)),ROW($1:$5)))</f>
        <v>35325</v>
      </c>
    </row>
    <row r="100" spans="1:3">
      <c r="A100" t="s">
        <v>130</v>
      </c>
      <c r="B100">
        <f t="array" ref="B100">LOOKUP(9E+307,1*LEFT(MID(A100,MIN(FIND({0,1,2,3,4,5,6,7,8,9},A100&amp;"0,1,2,3,4,5,6,7,8,9")),LEN(A100)),ROW($1:$5)))</f>
        <v>46443</v>
      </c>
    </row>
    <row r="101" spans="1:3">
      <c r="A101" t="s">
        <v>131</v>
      </c>
      <c r="B101">
        <f t="array" ref="B101">LOOKUP(9E+307,1*LEFT(MID(A101,MIN(FIND({0,1,2,3,4,5,6,7,8,9},A101&amp;"0,1,2,3,4,5,6,7,8,9")),LEN(A101)),ROW($1:$5)))</f>
        <v>64353</v>
      </c>
    </row>
    <row r="104" spans="1:3">
      <c r="A104" t="s">
        <v>132</v>
      </c>
      <c r="B104">
        <f>INT(RIGHT(A104,3))</f>
        <v>123</v>
      </c>
      <c r="C104">
        <v>123</v>
      </c>
    </row>
    <row r="105" spans="1:3">
      <c r="C105" t="b">
        <f>C104=B104</f>
        <v>1</v>
      </c>
    </row>
    <row r="107" spans="1:3">
      <c r="A107" t="s">
        <v>139</v>
      </c>
      <c r="B107" s="19" t="s">
        <v>50</v>
      </c>
    </row>
    <row r="108" spans="1:3">
      <c r="A108" s="3" t="s">
        <v>141</v>
      </c>
      <c r="B108" t="str">
        <f>"("&amp;MID(A108,FIND("(",A108)+1,FIND(")",A108)-1-FIND("(",A108))&amp;")"</f>
        <v>(22330434)</v>
      </c>
    </row>
    <row r="109" spans="1:3">
      <c r="A109" s="3" t="s">
        <v>140</v>
      </c>
      <c r="B109" t="str">
        <f t="shared" ref="B109:B114" si="20">"("&amp;MID(A109,FIND("(",A109)+1,FIND(")",A109)-1-FIND("(",A109))&amp;")"</f>
        <v>(434363)</v>
      </c>
    </row>
    <row r="110" spans="1:3">
      <c r="A110" s="3" t="s">
        <v>134</v>
      </c>
      <c r="B110" t="str">
        <f t="shared" si="20"/>
        <v>(13345)</v>
      </c>
    </row>
    <row r="111" spans="1:3">
      <c r="A111" s="3" t="s">
        <v>135</v>
      </c>
      <c r="B111" t="str">
        <f t="shared" si="20"/>
        <v>(64543)</v>
      </c>
    </row>
    <row r="112" spans="1:3">
      <c r="A112" s="3" t="s">
        <v>136</v>
      </c>
      <c r="B112" t="str">
        <f t="shared" si="20"/>
        <v>(45345)</v>
      </c>
    </row>
    <row r="113" spans="1:2">
      <c r="A113" s="3" t="s">
        <v>137</v>
      </c>
      <c r="B113" t="str">
        <f t="shared" si="20"/>
        <v>(63443)</v>
      </c>
    </row>
    <row r="114" spans="1:2">
      <c r="A114" s="3" t="s">
        <v>138</v>
      </c>
      <c r="B114" t="str">
        <f t="shared" si="20"/>
        <v>(64657)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C6"/>
  <sheetViews>
    <sheetView zoomScale="129" zoomScaleNormal="129" workbookViewId="0">
      <selection activeCell="C8" sqref="C8"/>
    </sheetView>
  </sheetViews>
  <sheetFormatPr defaultRowHeight="15"/>
  <cols>
    <col min="1" max="1" width="13" customWidth="1"/>
  </cols>
  <sheetData>
    <row r="1" spans="1:3">
      <c r="A1" t="s">
        <v>212</v>
      </c>
      <c r="C1">
        <f t="array" ref="C1">SUM(--LEN(A1:A4)-LEN(SUBSTITUTE(A1:A4,"a","")))</f>
        <v>7</v>
      </c>
    </row>
    <row r="2" spans="1:3">
      <c r="A2" t="s">
        <v>213</v>
      </c>
    </row>
    <row r="3" spans="1:3">
      <c r="A3" t="s">
        <v>214</v>
      </c>
    </row>
    <row r="4" spans="1:3">
      <c r="A4" t="s">
        <v>215</v>
      </c>
    </row>
    <row r="5" spans="1:3">
      <c r="A5" s="31" t="s">
        <v>216</v>
      </c>
    </row>
    <row r="6" spans="1:3">
      <c r="A6" s="31" t="s">
        <v>216</v>
      </c>
      <c r="B6" s="3">
        <f>LEN(A6)-LEN(SUBSTITUTE(A6,"a",""))</f>
        <v>3</v>
      </c>
      <c r="C6">
        <f>COUNTIF(A6,"*a*")</f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D31"/>
  <sheetViews>
    <sheetView zoomScale="91" zoomScaleNormal="91" workbookViewId="0">
      <selection activeCell="B2" sqref="B2"/>
    </sheetView>
  </sheetViews>
  <sheetFormatPr defaultRowHeight="15"/>
  <cols>
    <col min="1" max="1" width="67" customWidth="1"/>
    <col min="2" max="2" width="32.7109375" bestFit="1" customWidth="1"/>
    <col min="3" max="3" width="28.28515625" customWidth="1"/>
    <col min="4" max="4" width="22.85546875" customWidth="1"/>
  </cols>
  <sheetData>
    <row r="1" spans="1:4">
      <c r="A1" s="32" t="s">
        <v>217</v>
      </c>
      <c r="B1" s="32"/>
      <c r="C1" s="32" t="s">
        <v>218</v>
      </c>
      <c r="D1" s="32"/>
    </row>
    <row r="2" spans="1:4">
      <c r="A2" s="3" t="s">
        <v>219</v>
      </c>
      <c r="B2" s="3" t="str">
        <f>TRIM(SUBSTITUTE(A2,MID(A2,MIN(FIND({"$",".","-","@",","},A2&amp;"$,.,-,@,")),LEN(A2)),""))</f>
        <v>Staying Alive Restaurant Bar</v>
      </c>
      <c r="C2" s="3" t="s">
        <v>220</v>
      </c>
      <c r="D2" t="s">
        <v>239</v>
      </c>
    </row>
    <row r="3" spans="1:4">
      <c r="A3" s="3" t="s">
        <v>221</v>
      </c>
      <c r="B3" s="3" t="str">
        <f>TRIM(SUBSTITUTE(A3,MID(A3,MIN(FIND({"$",".","-","@",","},A3&amp;"$,.,-,@,")),LEN(A3)),""))</f>
        <v>Organia Café</v>
      </c>
      <c r="C3" s="3" t="s">
        <v>222</v>
      </c>
      <c r="D3" t="s">
        <v>240</v>
      </c>
    </row>
    <row r="4" spans="1:4">
      <c r="A4" s="3" t="s">
        <v>223</v>
      </c>
      <c r="B4" s="3" t="str">
        <f>TRIM(SUBSTITUTE(A4,MID(A4,MIN(FIND({"$",".","-","@",","},A4&amp;"$,.,-,@,")),LEN(A4)),""))</f>
        <v>Lemon Tree Hotel</v>
      </c>
      <c r="C4" s="3" t="s">
        <v>224</v>
      </c>
      <c r="D4" t="s">
        <v>224</v>
      </c>
    </row>
    <row r="5" spans="1:4">
      <c r="A5" s="3" t="s">
        <v>225</v>
      </c>
      <c r="B5" s="3" t="str">
        <f>TRIM(SUBSTITUTE(A5,MID(A5,MIN(FIND({"$",".","-","@",","},A5&amp;"$,.,-,@,")),LEN(A5)),""))</f>
        <v>Sesame</v>
      </c>
      <c r="C5" s="3" t="s">
        <v>225</v>
      </c>
      <c r="D5" t="s">
        <v>225</v>
      </c>
    </row>
    <row r="6" spans="1:4">
      <c r="A6" s="3" t="s">
        <v>226</v>
      </c>
      <c r="B6" s="3" t="str">
        <f>TRIM(SUBSTITUTE(A6,MID(A6,MIN(FIND({"$",".","-","@",","},A6&amp;"$,.,-,@,")),LEN(A6)),""))</f>
        <v>August Spice</v>
      </c>
      <c r="C6" s="3" t="s">
        <v>226</v>
      </c>
      <c r="D6" t="s">
        <v>226</v>
      </c>
    </row>
    <row r="7" spans="1:4">
      <c r="A7" s="3" t="s">
        <v>227</v>
      </c>
      <c r="B7" s="3" t="str">
        <f>TRIM(SUBSTITUTE(A7,MID(A7,MIN(FIND({"$",".","-","@",","},A7&amp;"$,.,-,@,")),LEN(A7)),""))</f>
        <v>Clarens Hotel</v>
      </c>
      <c r="C7" s="3" t="s">
        <v>228</v>
      </c>
      <c r="D7" t="s">
        <v>228</v>
      </c>
    </row>
    <row r="8" spans="1:4">
      <c r="A8" s="3" t="s">
        <v>229</v>
      </c>
      <c r="B8" s="3" t="str">
        <f>TRIM(SUBSTITUTE(A8,MID(A8,MIN(FIND({"$",".","-","@",","},A8&amp;"$,.,-,@,")),LEN(A8)),""))</f>
        <v>Diesel D Café</v>
      </c>
      <c r="C8" s="3" t="s">
        <v>229</v>
      </c>
      <c r="D8" t="s">
        <v>229</v>
      </c>
    </row>
    <row r="9" spans="1:4">
      <c r="A9" s="3" t="s">
        <v>230</v>
      </c>
      <c r="B9" s="3" t="str">
        <f>TRIM(SUBSTITUTE(A9,MID(A9,MIN(FIND({"$",".","-","@",","},A9&amp;"$,.,-,@,")),LEN(A9)),""))</f>
        <v>Melange World Cuisine Restaurant</v>
      </c>
      <c r="C9" s="3" t="s">
        <v>231</v>
      </c>
      <c r="D9" t="s">
        <v>241</v>
      </c>
    </row>
    <row r="10" spans="1:4">
      <c r="A10" s="3" t="s">
        <v>232</v>
      </c>
      <c r="B10" s="3" t="str">
        <f>TRIM(SUBSTITUTE(A10,MID(A10,MIN(FIND({"$",".","-","@",","},A10&amp;"$,.,-,@,")),LEN(A10)),""))</f>
        <v>The Scruples Bar</v>
      </c>
      <c r="C10" s="3" t="s">
        <v>233</v>
      </c>
      <c r="D10" t="s">
        <v>233</v>
      </c>
    </row>
    <row r="11" spans="1:4">
      <c r="A11" s="3" t="s">
        <v>234</v>
      </c>
      <c r="B11" s="3" t="str">
        <f>TRIM(SUBSTITUTE(A11,MID(A11,MIN(FIND({"$",".","-","@",","},A11&amp;"$,.,-,@,")),LEN(A11)),""))</f>
        <v>Dc9 Gola Sizzler</v>
      </c>
      <c r="C11" s="3" t="s">
        <v>235</v>
      </c>
      <c r="D11" t="s">
        <v>242</v>
      </c>
    </row>
    <row r="12" spans="1:4">
      <c r="A12" s="3" t="s">
        <v>234</v>
      </c>
      <c r="B12" s="3" t="str">
        <f>TRIM(SUBSTITUTE(A12,MID(A12,MIN(FIND({"$",".","-","@",","},A12&amp;"$,.,-,@,")),LEN(A12)),""))</f>
        <v>Dc9 Gola Sizzler</v>
      </c>
      <c r="C12" s="3" t="s">
        <v>235</v>
      </c>
      <c r="D12" t="s">
        <v>242</v>
      </c>
    </row>
    <row r="13" spans="1:4">
      <c r="A13" s="3" t="s">
        <v>236</v>
      </c>
      <c r="B13" s="3" t="str">
        <f>TRIM(SUBSTITUTE(A13,MID(A13,MIN(FIND({"$",".","-","@",","},A13&amp;"$,.,-,@,")),LEN(A13)),""))</f>
        <v>Chonas</v>
      </c>
      <c r="C13" s="3" t="s">
        <v>236</v>
      </c>
      <c r="D13" t="s">
        <v>236</v>
      </c>
    </row>
    <row r="31" spans="4:4">
      <c r="D31" t="s">
        <v>239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F64"/>
  <sheetViews>
    <sheetView topLeftCell="A42" workbookViewId="0">
      <selection activeCell="K50" sqref="K50"/>
    </sheetView>
  </sheetViews>
  <sheetFormatPr defaultRowHeight="15"/>
  <sheetData>
    <row r="1" spans="1:2">
      <c r="A1">
        <v>1</v>
      </c>
      <c r="B1" t="str">
        <f>CHAR(A1)</f>
        <v>_x0001_</v>
      </c>
    </row>
    <row r="2" spans="1:2">
      <c r="A2">
        <f>A1+1</f>
        <v>2</v>
      </c>
      <c r="B2" t="str">
        <f t="shared" ref="B2:B64" si="0">CHAR(A2)</f>
        <v>_x0002_</v>
      </c>
    </row>
    <row r="3" spans="1:2">
      <c r="A3">
        <f t="shared" ref="A3:A64" si="1">A2+1</f>
        <v>3</v>
      </c>
      <c r="B3" t="str">
        <f t="shared" si="0"/>
        <v>_x0003_</v>
      </c>
    </row>
    <row r="4" spans="1:2">
      <c r="A4">
        <f t="shared" si="1"/>
        <v>4</v>
      </c>
      <c r="B4" t="str">
        <f t="shared" si="0"/>
        <v>_x0004_</v>
      </c>
    </row>
    <row r="5" spans="1:2">
      <c r="A5">
        <f t="shared" si="1"/>
        <v>5</v>
      </c>
      <c r="B5" t="str">
        <f t="shared" si="0"/>
        <v>_x0005_</v>
      </c>
    </row>
    <row r="6" spans="1:2">
      <c r="A6">
        <f t="shared" si="1"/>
        <v>6</v>
      </c>
      <c r="B6" t="str">
        <f t="shared" si="0"/>
        <v>_x0006_</v>
      </c>
    </row>
    <row r="7" spans="1:2">
      <c r="A7">
        <f t="shared" si="1"/>
        <v>7</v>
      </c>
      <c r="B7" t="str">
        <f t="shared" si="0"/>
        <v>_x0007_</v>
      </c>
    </row>
    <row r="8" spans="1:2">
      <c r="A8">
        <f t="shared" si="1"/>
        <v>8</v>
      </c>
      <c r="B8" t="str">
        <f t="shared" si="0"/>
        <v>_x0008_</v>
      </c>
    </row>
    <row r="9" spans="1:2">
      <c r="A9">
        <f t="shared" si="1"/>
        <v>9</v>
      </c>
      <c r="B9" t="str">
        <f t="shared" si="0"/>
        <v xml:space="preserve">	</v>
      </c>
    </row>
    <row r="10" spans="1:2">
      <c r="A10">
        <f t="shared" si="1"/>
        <v>10</v>
      </c>
      <c r="B10" t="str">
        <f t="shared" si="0"/>
        <v xml:space="preserve">
</v>
      </c>
    </row>
    <row r="11" spans="1:2">
      <c r="A11">
        <f t="shared" si="1"/>
        <v>11</v>
      </c>
      <c r="B11" t="str">
        <f t="shared" si="0"/>
        <v>_x000B_</v>
      </c>
    </row>
    <row r="12" spans="1:2">
      <c r="A12">
        <f t="shared" si="1"/>
        <v>12</v>
      </c>
      <c r="B12" t="str">
        <f t="shared" si="0"/>
        <v>_x000C_</v>
      </c>
    </row>
    <row r="13" spans="1:2">
      <c r="A13">
        <f t="shared" si="1"/>
        <v>13</v>
      </c>
      <c r="B13" t="str">
        <f t="shared" si="0"/>
        <v>_x000D_</v>
      </c>
    </row>
    <row r="14" spans="1:2">
      <c r="A14">
        <f t="shared" si="1"/>
        <v>14</v>
      </c>
      <c r="B14" t="str">
        <f t="shared" si="0"/>
        <v>_x000E_</v>
      </c>
    </row>
    <row r="15" spans="1:2">
      <c r="A15">
        <f t="shared" si="1"/>
        <v>15</v>
      </c>
      <c r="B15" t="str">
        <f t="shared" si="0"/>
        <v>_x000F_</v>
      </c>
    </row>
    <row r="16" spans="1:2">
      <c r="A16">
        <f t="shared" si="1"/>
        <v>16</v>
      </c>
      <c r="B16" t="str">
        <f t="shared" si="0"/>
        <v>_x0010_</v>
      </c>
    </row>
    <row r="17" spans="1:2">
      <c r="A17">
        <f t="shared" si="1"/>
        <v>17</v>
      </c>
      <c r="B17" t="str">
        <f t="shared" si="0"/>
        <v>_x0011_</v>
      </c>
    </row>
    <row r="18" spans="1:2">
      <c r="A18">
        <f t="shared" si="1"/>
        <v>18</v>
      </c>
      <c r="B18" t="str">
        <f t="shared" si="0"/>
        <v>_x0012_</v>
      </c>
    </row>
    <row r="19" spans="1:2">
      <c r="A19">
        <f t="shared" si="1"/>
        <v>19</v>
      </c>
      <c r="B19" t="str">
        <f t="shared" si="0"/>
        <v>_x0013_</v>
      </c>
    </row>
    <row r="20" spans="1:2">
      <c r="A20">
        <f t="shared" si="1"/>
        <v>20</v>
      </c>
      <c r="B20" t="str">
        <f t="shared" si="0"/>
        <v>_x0014_</v>
      </c>
    </row>
    <row r="21" spans="1:2">
      <c r="A21">
        <f t="shared" si="1"/>
        <v>21</v>
      </c>
      <c r="B21" t="str">
        <f t="shared" si="0"/>
        <v>_x0015_</v>
      </c>
    </row>
    <row r="22" spans="1:2">
      <c r="A22">
        <f t="shared" si="1"/>
        <v>22</v>
      </c>
      <c r="B22" t="str">
        <f t="shared" si="0"/>
        <v>_x0016_</v>
      </c>
    </row>
    <row r="23" spans="1:2">
      <c r="A23">
        <f t="shared" si="1"/>
        <v>23</v>
      </c>
      <c r="B23" t="str">
        <f t="shared" si="0"/>
        <v>_x0017_</v>
      </c>
    </row>
    <row r="24" spans="1:2">
      <c r="A24">
        <f t="shared" si="1"/>
        <v>24</v>
      </c>
      <c r="B24" t="str">
        <f t="shared" si="0"/>
        <v>_x0018_</v>
      </c>
    </row>
    <row r="25" spans="1:2">
      <c r="A25">
        <f t="shared" si="1"/>
        <v>25</v>
      </c>
      <c r="B25" t="str">
        <f t="shared" si="0"/>
        <v>_x0019_</v>
      </c>
    </row>
    <row r="26" spans="1:2">
      <c r="A26">
        <f t="shared" si="1"/>
        <v>26</v>
      </c>
      <c r="B26" t="str">
        <f t="shared" si="0"/>
        <v>_x001A_</v>
      </c>
    </row>
    <row r="27" spans="1:2">
      <c r="A27">
        <f t="shared" si="1"/>
        <v>27</v>
      </c>
      <c r="B27" t="str">
        <f t="shared" si="0"/>
        <v>_x001B_</v>
      </c>
    </row>
    <row r="28" spans="1:2">
      <c r="A28">
        <f t="shared" si="1"/>
        <v>28</v>
      </c>
      <c r="B28" t="str">
        <f t="shared" si="0"/>
        <v>_x001C_</v>
      </c>
    </row>
    <row r="29" spans="1:2">
      <c r="A29">
        <f t="shared" si="1"/>
        <v>29</v>
      </c>
      <c r="B29" t="str">
        <f t="shared" si="0"/>
        <v>_x001D_</v>
      </c>
    </row>
    <row r="30" spans="1:2">
      <c r="A30">
        <f t="shared" si="1"/>
        <v>30</v>
      </c>
      <c r="B30" t="str">
        <f t="shared" si="0"/>
        <v>_x001E_</v>
      </c>
    </row>
    <row r="31" spans="1:2">
      <c r="A31">
        <f t="shared" si="1"/>
        <v>31</v>
      </c>
      <c r="B31" t="str">
        <f t="shared" si="0"/>
        <v>_x001F_</v>
      </c>
    </row>
    <row r="32" spans="1:2">
      <c r="A32">
        <f t="shared" si="1"/>
        <v>32</v>
      </c>
      <c r="B32" t="str">
        <f t="shared" si="0"/>
        <v xml:space="preserve"> </v>
      </c>
    </row>
    <row r="33" spans="1:2">
      <c r="A33">
        <f t="shared" si="1"/>
        <v>33</v>
      </c>
      <c r="B33" t="str">
        <f t="shared" si="0"/>
        <v>!</v>
      </c>
    </row>
    <row r="34" spans="1:2">
      <c r="A34">
        <f t="shared" si="1"/>
        <v>34</v>
      </c>
      <c r="B34" t="str">
        <f t="shared" si="0"/>
        <v>"</v>
      </c>
    </row>
    <row r="35" spans="1:2">
      <c r="A35">
        <f t="shared" si="1"/>
        <v>35</v>
      </c>
      <c r="B35" t="str">
        <f t="shared" si="0"/>
        <v>#</v>
      </c>
    </row>
    <row r="36" spans="1:2">
      <c r="A36">
        <f t="shared" si="1"/>
        <v>36</v>
      </c>
      <c r="B36" t="str">
        <f t="shared" si="0"/>
        <v>$</v>
      </c>
    </row>
    <row r="37" spans="1:2">
      <c r="A37">
        <f t="shared" si="1"/>
        <v>37</v>
      </c>
      <c r="B37" t="str">
        <f t="shared" si="0"/>
        <v>%</v>
      </c>
    </row>
    <row r="38" spans="1:2">
      <c r="A38">
        <f t="shared" si="1"/>
        <v>38</v>
      </c>
      <c r="B38" t="str">
        <f t="shared" si="0"/>
        <v>&amp;</v>
      </c>
    </row>
    <row r="39" spans="1:2">
      <c r="A39">
        <f t="shared" si="1"/>
        <v>39</v>
      </c>
      <c r="B39" t="str">
        <f t="shared" si="0"/>
        <v>'</v>
      </c>
    </row>
    <row r="40" spans="1:2">
      <c r="A40">
        <f t="shared" si="1"/>
        <v>40</v>
      </c>
      <c r="B40" t="str">
        <f t="shared" si="0"/>
        <v>(</v>
      </c>
    </row>
    <row r="41" spans="1:2">
      <c r="A41">
        <f t="shared" si="1"/>
        <v>41</v>
      </c>
      <c r="B41" t="str">
        <f t="shared" si="0"/>
        <v>)</v>
      </c>
    </row>
    <row r="42" spans="1:2">
      <c r="A42">
        <f t="shared" si="1"/>
        <v>42</v>
      </c>
      <c r="B42" t="str">
        <f t="shared" si="0"/>
        <v>*</v>
      </c>
    </row>
    <row r="43" spans="1:2">
      <c r="A43">
        <f t="shared" si="1"/>
        <v>43</v>
      </c>
      <c r="B43" t="str">
        <f t="shared" si="0"/>
        <v>+</v>
      </c>
    </row>
    <row r="44" spans="1:2">
      <c r="A44">
        <f t="shared" si="1"/>
        <v>44</v>
      </c>
      <c r="B44" t="str">
        <f t="shared" si="0"/>
        <v>,</v>
      </c>
    </row>
    <row r="45" spans="1:2">
      <c r="A45">
        <f t="shared" si="1"/>
        <v>45</v>
      </c>
      <c r="B45" t="str">
        <f t="shared" si="0"/>
        <v>-</v>
      </c>
    </row>
    <row r="46" spans="1:2">
      <c r="A46">
        <f t="shared" si="1"/>
        <v>46</v>
      </c>
      <c r="B46" t="str">
        <f t="shared" si="0"/>
        <v>.</v>
      </c>
    </row>
    <row r="47" spans="1:2">
      <c r="A47">
        <f t="shared" si="1"/>
        <v>47</v>
      </c>
      <c r="B47" t="str">
        <f t="shared" si="0"/>
        <v>/</v>
      </c>
    </row>
    <row r="48" spans="1:2">
      <c r="A48">
        <f t="shared" si="1"/>
        <v>48</v>
      </c>
      <c r="B48" t="str">
        <f t="shared" si="0"/>
        <v>0</v>
      </c>
    </row>
    <row r="49" spans="1:6">
      <c r="A49">
        <f t="shared" si="1"/>
        <v>49</v>
      </c>
      <c r="B49" t="str">
        <f t="shared" si="0"/>
        <v>1</v>
      </c>
    </row>
    <row r="50" spans="1:6">
      <c r="A50">
        <f t="shared" si="1"/>
        <v>50</v>
      </c>
      <c r="B50" t="str">
        <f t="shared" si="0"/>
        <v>2</v>
      </c>
      <c r="F50" s="42" t="s">
        <v>238</v>
      </c>
    </row>
    <row r="51" spans="1:6">
      <c r="A51">
        <f t="shared" si="1"/>
        <v>51</v>
      </c>
      <c r="B51" t="str">
        <f t="shared" si="0"/>
        <v>3</v>
      </c>
    </row>
    <row r="52" spans="1:6">
      <c r="A52">
        <f t="shared" si="1"/>
        <v>52</v>
      </c>
      <c r="B52" t="str">
        <f t="shared" si="0"/>
        <v>4</v>
      </c>
    </row>
    <row r="53" spans="1:6">
      <c r="A53">
        <f t="shared" si="1"/>
        <v>53</v>
      </c>
      <c r="B53" t="str">
        <f t="shared" si="0"/>
        <v>5</v>
      </c>
    </row>
    <row r="54" spans="1:6">
      <c r="A54">
        <f t="shared" si="1"/>
        <v>54</v>
      </c>
      <c r="B54" t="str">
        <f t="shared" si="0"/>
        <v>6</v>
      </c>
    </row>
    <row r="55" spans="1:6">
      <c r="A55">
        <f t="shared" si="1"/>
        <v>55</v>
      </c>
      <c r="B55" t="str">
        <f t="shared" si="0"/>
        <v>7</v>
      </c>
    </row>
    <row r="56" spans="1:6">
      <c r="A56">
        <f t="shared" si="1"/>
        <v>56</v>
      </c>
      <c r="B56" t="str">
        <f t="shared" si="0"/>
        <v>8</v>
      </c>
    </row>
    <row r="57" spans="1:6">
      <c r="A57">
        <f t="shared" si="1"/>
        <v>57</v>
      </c>
      <c r="B57" t="str">
        <f t="shared" si="0"/>
        <v>9</v>
      </c>
    </row>
    <row r="58" spans="1:6">
      <c r="A58">
        <f t="shared" si="1"/>
        <v>58</v>
      </c>
      <c r="B58" t="str">
        <f t="shared" si="0"/>
        <v>:</v>
      </c>
    </row>
    <row r="59" spans="1:6">
      <c r="A59">
        <f t="shared" si="1"/>
        <v>59</v>
      </c>
      <c r="B59" t="str">
        <f t="shared" si="0"/>
        <v>;</v>
      </c>
    </row>
    <row r="60" spans="1:6">
      <c r="A60">
        <f t="shared" si="1"/>
        <v>60</v>
      </c>
      <c r="B60" t="str">
        <f t="shared" si="0"/>
        <v>&lt;</v>
      </c>
    </row>
    <row r="61" spans="1:6">
      <c r="A61">
        <f t="shared" si="1"/>
        <v>61</v>
      </c>
      <c r="B61" t="str">
        <f t="shared" si="0"/>
        <v>=</v>
      </c>
    </row>
    <row r="62" spans="1:6">
      <c r="A62">
        <f t="shared" si="1"/>
        <v>62</v>
      </c>
      <c r="B62" t="str">
        <f t="shared" si="0"/>
        <v>&gt;</v>
      </c>
    </row>
    <row r="63" spans="1:6">
      <c r="A63">
        <f t="shared" si="1"/>
        <v>63</v>
      </c>
      <c r="B63" t="str">
        <f t="shared" si="0"/>
        <v>?</v>
      </c>
    </row>
    <row r="64" spans="1:6">
      <c r="A64">
        <f t="shared" si="1"/>
        <v>64</v>
      </c>
      <c r="B64" t="str">
        <f t="shared" si="0"/>
        <v>@</v>
      </c>
    </row>
  </sheetData>
  <hyperlinks>
    <hyperlink ref="F50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NP72"/>
  <sheetViews>
    <sheetView zoomScale="120" zoomScaleNormal="120" workbookViewId="0">
      <selection activeCell="A35" sqref="A35"/>
    </sheetView>
  </sheetViews>
  <sheetFormatPr defaultRowHeight="15"/>
  <cols>
    <col min="1" max="1" width="22.140625" bestFit="1" customWidth="1"/>
    <col min="2" max="2" width="15" customWidth="1"/>
    <col min="3" max="3" width="11.7109375" bestFit="1" customWidth="1"/>
  </cols>
  <sheetData>
    <row r="1" spans="1:380">
      <c r="A1" s="20" t="s">
        <v>142</v>
      </c>
      <c r="B1" t="s">
        <v>211</v>
      </c>
    </row>
    <row r="2" spans="1:380">
      <c r="A2" s="21" t="s">
        <v>276</v>
      </c>
      <c r="B2" s="21" t="s">
        <v>277</v>
      </c>
      <c r="C2" s="21" t="s">
        <v>243</v>
      </c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6"/>
      <c r="Q2" s="22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  <c r="EA2" s="43"/>
      <c r="EB2" s="43"/>
      <c r="EC2" s="43"/>
      <c r="ED2" s="43"/>
      <c r="EE2" s="43"/>
      <c r="EF2" s="43"/>
      <c r="EG2" s="43"/>
      <c r="EH2" s="43"/>
      <c r="EI2" s="43"/>
      <c r="EJ2" s="43"/>
      <c r="EK2" s="43"/>
      <c r="EL2" s="43"/>
      <c r="EM2" s="43"/>
      <c r="EN2" s="43"/>
      <c r="EO2" s="43"/>
      <c r="EP2" s="43"/>
      <c r="EQ2" s="43"/>
      <c r="ER2" s="43"/>
      <c r="ES2" s="43"/>
      <c r="ET2" s="43"/>
      <c r="EU2" s="43"/>
      <c r="EV2" s="43"/>
      <c r="EW2" s="43"/>
      <c r="EX2" s="43"/>
      <c r="EY2" s="43"/>
      <c r="EZ2" s="43"/>
      <c r="FA2" s="43"/>
      <c r="FB2" s="43"/>
      <c r="FC2" s="43"/>
      <c r="FD2" s="43"/>
      <c r="FE2" s="43"/>
      <c r="FF2" s="43"/>
      <c r="FG2" s="43"/>
      <c r="FH2" s="43"/>
      <c r="FI2" s="43"/>
      <c r="FJ2" s="43"/>
      <c r="FK2" s="43"/>
      <c r="FL2" s="43"/>
      <c r="FM2" s="43"/>
      <c r="FN2" s="43"/>
      <c r="FO2" s="43"/>
      <c r="FP2" s="43"/>
      <c r="FQ2" s="43"/>
      <c r="FR2" s="43"/>
      <c r="FS2" s="43"/>
      <c r="FT2" s="43"/>
      <c r="FU2" s="43"/>
      <c r="FV2" s="43"/>
      <c r="FW2" s="43"/>
      <c r="FX2" s="43"/>
      <c r="FY2" s="43"/>
      <c r="FZ2" s="43"/>
      <c r="GA2" s="43"/>
      <c r="GB2" s="43"/>
      <c r="GC2" s="43"/>
      <c r="GD2" s="43"/>
      <c r="GE2" s="43"/>
      <c r="GF2" s="43"/>
      <c r="GG2" s="43"/>
      <c r="GH2" s="43"/>
      <c r="GI2" s="43"/>
      <c r="GJ2" s="43"/>
      <c r="GK2" s="43"/>
      <c r="GL2" s="43"/>
      <c r="GM2" s="43"/>
      <c r="GN2" s="43"/>
      <c r="GO2" s="43"/>
      <c r="GP2" s="43"/>
      <c r="GQ2" s="43"/>
      <c r="GR2" s="43"/>
      <c r="GS2" s="43"/>
      <c r="GT2" s="43"/>
      <c r="GU2" s="43"/>
      <c r="GV2" s="43"/>
      <c r="GW2" s="43"/>
      <c r="GX2" s="43"/>
      <c r="GY2" s="43"/>
      <c r="GZ2" s="43"/>
      <c r="HA2" s="43"/>
      <c r="HB2" s="43"/>
      <c r="HC2" s="43"/>
      <c r="HD2" s="43"/>
      <c r="HE2" s="43"/>
      <c r="HF2" s="43"/>
      <c r="HG2" s="43"/>
      <c r="HH2" s="43"/>
      <c r="HI2" s="43"/>
      <c r="HJ2" s="43"/>
      <c r="HK2" s="43"/>
      <c r="HL2" s="43"/>
      <c r="HM2" s="43"/>
      <c r="HN2" s="43"/>
      <c r="HO2" s="43"/>
      <c r="HP2" s="43"/>
      <c r="HQ2" s="43"/>
      <c r="HR2" s="43"/>
      <c r="HS2" s="43"/>
      <c r="HT2" s="43"/>
      <c r="HU2" s="43"/>
      <c r="HV2" s="43"/>
      <c r="HW2" s="43"/>
      <c r="HX2" s="43"/>
      <c r="HY2" s="43"/>
      <c r="HZ2" s="43"/>
      <c r="IA2" s="43"/>
      <c r="IB2" s="43"/>
      <c r="IC2" s="43"/>
      <c r="ID2" s="43"/>
      <c r="IE2" s="43"/>
      <c r="IF2" s="43"/>
      <c r="IG2" s="43"/>
      <c r="IH2" s="43"/>
      <c r="II2" s="43"/>
      <c r="IJ2" s="43"/>
      <c r="IK2" s="43"/>
      <c r="IL2" s="43"/>
      <c r="IM2" s="43"/>
      <c r="IN2" s="43"/>
      <c r="IO2" s="43"/>
      <c r="IP2" s="43"/>
      <c r="IQ2" s="43"/>
      <c r="IR2" s="43"/>
      <c r="IS2" s="43"/>
      <c r="IT2" s="43"/>
      <c r="IU2" s="43"/>
      <c r="IV2" s="43"/>
      <c r="IW2" s="43"/>
      <c r="IX2" s="43"/>
      <c r="IY2" s="43"/>
      <c r="IZ2" s="43"/>
      <c r="JA2" s="43"/>
      <c r="JB2" s="43"/>
      <c r="JC2" s="43"/>
      <c r="JD2" s="43"/>
      <c r="JE2" s="43"/>
      <c r="JF2" s="43"/>
      <c r="JG2" s="43"/>
      <c r="JH2" s="43"/>
      <c r="JI2" s="43"/>
      <c r="JJ2" s="43"/>
      <c r="JK2" s="43"/>
      <c r="JL2" s="43"/>
      <c r="JM2" s="43"/>
      <c r="JN2" s="43"/>
      <c r="JO2" s="43"/>
      <c r="JP2" s="43"/>
      <c r="JQ2" s="43"/>
      <c r="JR2" s="43"/>
      <c r="JS2" s="43"/>
      <c r="JT2" s="43"/>
      <c r="JU2" s="43"/>
      <c r="JV2" s="43"/>
      <c r="JW2" s="43"/>
      <c r="JX2" s="43"/>
      <c r="JY2" s="43"/>
      <c r="JZ2" s="43"/>
      <c r="KA2" s="43"/>
      <c r="KB2" s="43"/>
      <c r="KC2" s="43"/>
      <c r="KD2" s="43"/>
      <c r="KE2" s="43"/>
      <c r="KF2" s="43"/>
      <c r="KG2" s="43"/>
      <c r="KH2" s="43"/>
      <c r="KI2" s="43"/>
      <c r="KJ2" s="43"/>
      <c r="KK2" s="43"/>
      <c r="KL2" s="43"/>
      <c r="KM2" s="43"/>
      <c r="KN2" s="43"/>
      <c r="KO2" s="43"/>
      <c r="KP2" s="43"/>
      <c r="KQ2" s="43"/>
      <c r="KR2" s="43"/>
      <c r="KS2" s="43"/>
      <c r="KT2" s="43"/>
      <c r="KU2" s="43"/>
      <c r="KV2" s="43"/>
      <c r="KW2" s="43"/>
      <c r="KX2" s="43"/>
      <c r="KY2" s="43"/>
      <c r="KZ2" s="43"/>
      <c r="LA2" s="43"/>
      <c r="LB2" s="43"/>
      <c r="LC2" s="43"/>
      <c r="LD2" s="43"/>
      <c r="LE2" s="43"/>
      <c r="LF2" s="43"/>
      <c r="LG2" s="43"/>
      <c r="LH2" s="43"/>
      <c r="LI2" s="43"/>
      <c r="LJ2" s="43"/>
      <c r="LK2" s="43"/>
      <c r="LL2" s="43"/>
      <c r="LM2" s="43"/>
      <c r="LN2" s="43"/>
      <c r="LO2" s="43"/>
      <c r="LP2" s="43"/>
      <c r="LQ2" s="43"/>
      <c r="LR2" s="43"/>
      <c r="LS2" s="43"/>
      <c r="LT2" s="43"/>
      <c r="LU2" s="43"/>
      <c r="LV2" s="43"/>
      <c r="LW2" s="43"/>
      <c r="LX2" s="43"/>
      <c r="LY2" s="43"/>
      <c r="LZ2" s="43"/>
      <c r="MA2" s="43"/>
      <c r="MB2" s="43"/>
      <c r="MC2" s="43"/>
      <c r="MD2" s="43"/>
      <c r="ME2" s="43"/>
      <c r="MF2" s="43"/>
      <c r="MG2" s="43"/>
      <c r="MH2" s="43"/>
      <c r="MI2" s="43"/>
      <c r="MJ2" s="43"/>
      <c r="MK2" s="43"/>
      <c r="ML2" s="43"/>
      <c r="MM2" s="43"/>
      <c r="MN2" s="43"/>
      <c r="MO2" s="43"/>
      <c r="MP2" s="43"/>
      <c r="MQ2" s="43"/>
      <c r="MR2" s="43"/>
      <c r="MS2" s="43"/>
      <c r="MT2" s="43"/>
      <c r="MU2" s="43"/>
      <c r="MV2" s="43"/>
      <c r="MW2" s="43"/>
      <c r="MX2" s="43"/>
      <c r="MY2" s="43"/>
      <c r="MZ2" s="43"/>
      <c r="NA2" s="43"/>
      <c r="NB2" s="43"/>
      <c r="NC2" s="43"/>
      <c r="ND2" s="43"/>
      <c r="NE2" s="43"/>
      <c r="NF2" s="43"/>
      <c r="NG2" s="43"/>
      <c r="NH2" s="43"/>
      <c r="NI2" s="43"/>
      <c r="NJ2" s="43"/>
      <c r="NK2" s="43"/>
      <c r="NL2" s="43"/>
      <c r="NM2" s="43"/>
      <c r="NN2" s="43"/>
      <c r="NO2" s="43"/>
      <c r="NP2" s="43"/>
    </row>
    <row r="3" spans="1:380">
      <c r="A3" s="22" t="s">
        <v>143</v>
      </c>
      <c r="B3" s="44" t="s">
        <v>244</v>
      </c>
      <c r="C3" s="44" t="s">
        <v>265</v>
      </c>
      <c r="D3" s="44" t="s">
        <v>266</v>
      </c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 t="s">
        <v>264</v>
      </c>
      <c r="Q3" s="44"/>
      <c r="R3" s="44"/>
      <c r="S3" s="44"/>
      <c r="T3" s="44"/>
      <c r="U3" s="44"/>
      <c r="V3" s="44"/>
      <c r="AB3">
        <v>22330</v>
      </c>
      <c r="AC3">
        <v>2</v>
      </c>
      <c r="AD3">
        <f t="shared" ref="L3:AD11" si="0">1*LEFT(AB3,AC3)</f>
        <v>22</v>
      </c>
      <c r="AF3" t="e">
        <f>LOOKUP(9E+307,$I$2:$I$11)</f>
        <v>#N/A</v>
      </c>
    </row>
    <row r="4" spans="1:380">
      <c r="A4" s="21" t="s">
        <v>144</v>
      </c>
      <c r="B4" s="43" t="s">
        <v>245</v>
      </c>
      <c r="C4" s="43" t="s">
        <v>268</v>
      </c>
      <c r="D4" s="43" t="s">
        <v>267</v>
      </c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U4">
        <v>22330</v>
      </c>
      <c r="V4">
        <v>3</v>
      </c>
      <c r="W4">
        <f t="shared" si="0"/>
        <v>223</v>
      </c>
    </row>
    <row r="5" spans="1:380">
      <c r="A5" s="21" t="s">
        <v>145</v>
      </c>
      <c r="B5" s="43" t="s">
        <v>247</v>
      </c>
      <c r="C5" s="43" t="s">
        <v>246</v>
      </c>
      <c r="D5" s="43"/>
      <c r="E5" s="43"/>
      <c r="F5" s="43"/>
      <c r="G5" s="43"/>
      <c r="H5" s="43"/>
      <c r="I5" s="43"/>
      <c r="L5" t="e">
        <f>CHAR("a")</f>
        <v>#VALUE!</v>
      </c>
      <c r="O5">
        <v>22330</v>
      </c>
      <c r="P5">
        <v>4</v>
      </c>
      <c r="Q5">
        <f t="shared" si="0"/>
        <v>2233</v>
      </c>
    </row>
    <row r="6" spans="1:380">
      <c r="A6" s="23" t="s">
        <v>146</v>
      </c>
      <c r="B6" s="45" t="s">
        <v>249</v>
      </c>
      <c r="C6" s="45" t="s">
        <v>248</v>
      </c>
      <c r="D6" s="45"/>
      <c r="J6">
        <v>22330</v>
      </c>
      <c r="K6">
        <v>5</v>
      </c>
      <c r="L6">
        <f t="shared" si="0"/>
        <v>22330</v>
      </c>
    </row>
    <row r="7" spans="1:380">
      <c r="A7" s="23" t="s">
        <v>147</v>
      </c>
      <c r="B7" s="45" t="s">
        <v>251</v>
      </c>
      <c r="C7" s="45" t="s">
        <v>250</v>
      </c>
      <c r="D7" s="45"/>
      <c r="J7">
        <v>22330</v>
      </c>
      <c r="K7">
        <v>6</v>
      </c>
      <c r="L7">
        <f t="shared" si="0"/>
        <v>22330</v>
      </c>
    </row>
    <row r="8" spans="1:380">
      <c r="A8" s="22" t="s">
        <v>148</v>
      </c>
      <c r="B8" s="44" t="s">
        <v>253</v>
      </c>
      <c r="C8" s="44" t="s">
        <v>252</v>
      </c>
      <c r="D8" s="44"/>
      <c r="J8">
        <v>22330</v>
      </c>
      <c r="K8">
        <v>7</v>
      </c>
      <c r="L8">
        <f t="shared" si="0"/>
        <v>22330</v>
      </c>
    </row>
    <row r="9" spans="1:380">
      <c r="A9" s="24" t="s">
        <v>149</v>
      </c>
      <c r="B9" s="46" t="s">
        <v>255</v>
      </c>
      <c r="C9" s="46" t="s">
        <v>254</v>
      </c>
      <c r="D9" s="46"/>
      <c r="J9">
        <v>22330</v>
      </c>
      <c r="K9">
        <v>8</v>
      </c>
      <c r="L9">
        <f t="shared" si="0"/>
        <v>22330</v>
      </c>
    </row>
    <row r="10" spans="1:380">
      <c r="A10" s="21" t="s">
        <v>150</v>
      </c>
      <c r="B10" s="43" t="s">
        <v>257</v>
      </c>
      <c r="C10" s="43" t="s">
        <v>256</v>
      </c>
      <c r="D10" s="43"/>
      <c r="J10">
        <v>22330</v>
      </c>
      <c r="K10">
        <v>9</v>
      </c>
      <c r="L10">
        <f t="shared" si="0"/>
        <v>22330</v>
      </c>
    </row>
    <row r="11" spans="1:380">
      <c r="A11" s="22" t="s">
        <v>151</v>
      </c>
      <c r="B11" s="44" t="s">
        <v>259</v>
      </c>
      <c r="C11" s="44" t="s">
        <v>258</v>
      </c>
      <c r="D11" s="44"/>
      <c r="J11">
        <v>22330</v>
      </c>
      <c r="K11">
        <v>10</v>
      </c>
      <c r="L11">
        <f t="shared" si="0"/>
        <v>22330</v>
      </c>
    </row>
    <row r="12" spans="1:380">
      <c r="A12" s="21" t="s">
        <v>152</v>
      </c>
      <c r="B12" s="43" t="s">
        <v>261</v>
      </c>
      <c r="C12" s="43" t="s">
        <v>260</v>
      </c>
      <c r="D12" s="43"/>
    </row>
    <row r="13" spans="1:380">
      <c r="A13" s="21" t="s">
        <v>153</v>
      </c>
      <c r="B13" s="43" t="s">
        <v>262</v>
      </c>
      <c r="C13" s="43" t="s">
        <v>274</v>
      </c>
      <c r="D13" s="43" t="s">
        <v>273</v>
      </c>
      <c r="E13" s="43"/>
      <c r="F13" s="43"/>
      <c r="G13" s="43"/>
    </row>
    <row r="14" spans="1:380">
      <c r="A14" s="22" t="s">
        <v>154</v>
      </c>
      <c r="B14" s="44" t="s">
        <v>262</v>
      </c>
      <c r="C14" s="44" t="s">
        <v>265</v>
      </c>
      <c r="D14" s="44" t="s">
        <v>273</v>
      </c>
      <c r="E14" s="44"/>
      <c r="F14" s="44"/>
      <c r="G14" s="44"/>
    </row>
    <row r="15" spans="1:380">
      <c r="A15" s="22" t="s">
        <v>155</v>
      </c>
      <c r="B15" s="44" t="s">
        <v>265</v>
      </c>
      <c r="C15" s="44" t="s">
        <v>275</v>
      </c>
      <c r="D15" s="44"/>
    </row>
    <row r="16" spans="1:380">
      <c r="A16" s="25" t="s">
        <v>156</v>
      </c>
      <c r="B16" s="47" t="s">
        <v>279</v>
      </c>
      <c r="C16" s="47" t="s">
        <v>278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47"/>
      <c r="CH16" s="47"/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47"/>
      <c r="DB16" s="47"/>
      <c r="DC16" s="47"/>
      <c r="DD16" s="47"/>
      <c r="DE16" s="47"/>
      <c r="DF16" s="47"/>
      <c r="DG16" s="47"/>
      <c r="DH16" s="47"/>
      <c r="DI16" s="47"/>
      <c r="DJ16" s="47"/>
      <c r="DK16" s="47"/>
      <c r="DL16" s="47"/>
      <c r="DM16" s="47"/>
      <c r="DN16" s="47"/>
      <c r="DO16" s="47"/>
      <c r="DP16" s="47"/>
      <c r="DQ16" s="47"/>
      <c r="DR16" s="47"/>
      <c r="DS16" s="47"/>
      <c r="DT16" s="47"/>
      <c r="DU16" s="47"/>
      <c r="DV16" s="47"/>
      <c r="DW16" s="47"/>
      <c r="DX16" s="47"/>
      <c r="DY16" s="47"/>
      <c r="DZ16" s="47"/>
      <c r="EA16" s="47"/>
      <c r="EB16" s="47"/>
      <c r="EC16" s="47"/>
      <c r="ED16" s="47"/>
      <c r="EE16" s="47"/>
      <c r="EF16" s="47"/>
      <c r="EG16" s="47"/>
      <c r="EH16" s="47"/>
      <c r="EI16" s="47"/>
      <c r="EJ16" s="47"/>
      <c r="EK16" s="47"/>
      <c r="EL16" s="47"/>
      <c r="EM16" s="47"/>
      <c r="EN16" s="47"/>
      <c r="EO16" s="47"/>
      <c r="EP16" s="47"/>
      <c r="EQ16" s="47"/>
      <c r="ER16" s="47"/>
      <c r="ES16" s="47"/>
      <c r="ET16" s="47"/>
      <c r="EU16" s="47"/>
      <c r="EV16" s="47"/>
      <c r="EW16" s="47"/>
      <c r="EX16" s="47"/>
      <c r="EY16" s="47"/>
      <c r="EZ16" s="47"/>
      <c r="FA16" s="47"/>
      <c r="FB16" s="47"/>
      <c r="FC16" s="47"/>
      <c r="FD16" s="47"/>
      <c r="FE16" s="47"/>
      <c r="FF16" s="47"/>
      <c r="FG16" s="47"/>
      <c r="FH16" s="47"/>
      <c r="FI16" s="47"/>
      <c r="FJ16" s="47"/>
      <c r="FK16" s="47"/>
      <c r="FL16" s="47"/>
      <c r="FM16" s="47"/>
      <c r="FN16" s="47"/>
      <c r="FO16" s="47"/>
      <c r="FP16" s="47"/>
      <c r="FQ16" s="47"/>
      <c r="FR16" s="47"/>
      <c r="FS16" s="47"/>
      <c r="FT16" s="47"/>
      <c r="FU16" s="47"/>
      <c r="FV16" s="47"/>
      <c r="FW16" s="47"/>
      <c r="FX16" s="47"/>
      <c r="FY16" s="47"/>
      <c r="FZ16" s="47"/>
      <c r="GA16" s="47"/>
      <c r="GB16" s="47"/>
      <c r="GC16" s="47"/>
      <c r="GD16" s="47"/>
      <c r="GE16" s="47"/>
      <c r="GF16" s="47"/>
      <c r="GG16" s="47"/>
      <c r="GH16" s="47"/>
      <c r="GI16" s="47"/>
      <c r="GJ16" s="47"/>
      <c r="GK16" s="47"/>
      <c r="GL16" s="47"/>
      <c r="GM16" s="47"/>
      <c r="GN16" s="47"/>
      <c r="GO16" s="47"/>
      <c r="GP16" s="47"/>
      <c r="GQ16" s="47"/>
      <c r="GR16" s="47"/>
      <c r="GS16" s="47"/>
      <c r="GT16" s="47"/>
      <c r="GU16" s="47"/>
      <c r="GV16" s="47"/>
      <c r="GW16" s="47"/>
      <c r="GX16" s="47"/>
      <c r="GY16" s="47"/>
      <c r="GZ16" s="47"/>
      <c r="HA16" s="47"/>
      <c r="HB16" s="47"/>
      <c r="HC16" s="47"/>
      <c r="HD16" s="47"/>
      <c r="HE16" s="47"/>
      <c r="HF16" s="47"/>
      <c r="HG16" s="47"/>
      <c r="HH16" s="47"/>
      <c r="HI16" s="47"/>
      <c r="HJ16" s="47"/>
      <c r="HK16" s="47"/>
      <c r="HL16" s="47"/>
      <c r="HM16" s="47"/>
      <c r="HN16" s="47"/>
      <c r="HO16" s="47"/>
      <c r="HP16" s="47"/>
      <c r="HQ16" s="47"/>
      <c r="HR16" s="47"/>
      <c r="HS16" s="47"/>
      <c r="HT16" s="47"/>
      <c r="HU16" s="47"/>
      <c r="HV16" s="47"/>
      <c r="HW16" s="47"/>
      <c r="HX16" s="47"/>
      <c r="HY16" s="47"/>
      <c r="HZ16" s="47"/>
      <c r="IA16" s="47"/>
      <c r="IB16" s="47"/>
      <c r="IC16" s="47"/>
      <c r="ID16" s="47"/>
      <c r="IE16" s="47"/>
      <c r="IF16" s="47"/>
      <c r="IG16" s="47"/>
      <c r="IH16" s="47"/>
      <c r="II16" s="47"/>
      <c r="IJ16" s="47"/>
      <c r="IK16" s="47"/>
      <c r="IL16" s="47"/>
      <c r="IM16" s="47"/>
      <c r="IN16" s="47"/>
      <c r="IO16" s="47"/>
      <c r="IP16" s="47"/>
      <c r="IQ16" s="47"/>
      <c r="IR16" s="47"/>
      <c r="IS16" s="47"/>
      <c r="IT16" s="47"/>
      <c r="IU16" s="47"/>
      <c r="IV16" s="47"/>
      <c r="IW16" s="47"/>
      <c r="IX16" s="47"/>
      <c r="IY16" s="47"/>
      <c r="IZ16" s="47"/>
      <c r="JA16" s="47"/>
      <c r="JB16" s="47"/>
      <c r="JC16" s="47"/>
      <c r="JD16" s="47"/>
      <c r="JE16" s="47"/>
      <c r="JF16" s="47"/>
      <c r="JG16" s="47"/>
      <c r="JH16" s="47"/>
      <c r="JI16" s="47"/>
      <c r="JJ16" s="47"/>
      <c r="JK16" s="47"/>
      <c r="JL16" s="47"/>
    </row>
    <row r="17" spans="1:5">
      <c r="A17" s="22" t="s">
        <v>157</v>
      </c>
      <c r="B17" s="44" t="s">
        <v>281</v>
      </c>
      <c r="C17" s="44" t="s">
        <v>280</v>
      </c>
    </row>
    <row r="18" spans="1:5">
      <c r="A18" s="25" t="s">
        <v>158</v>
      </c>
      <c r="B18" s="47" t="s">
        <v>284</v>
      </c>
      <c r="C18" s="47" t="s">
        <v>283</v>
      </c>
      <c r="D18" s="47" t="s">
        <v>282</v>
      </c>
      <c r="E18" s="47"/>
    </row>
    <row r="19" spans="1:5">
      <c r="A19" s="22" t="s">
        <v>159</v>
      </c>
      <c r="B19" s="44" t="s">
        <v>271</v>
      </c>
      <c r="C19" s="44" t="s">
        <v>270</v>
      </c>
    </row>
    <row r="20" spans="1:5">
      <c r="A20" s="21" t="s">
        <v>160</v>
      </c>
      <c r="B20" s="43" t="s">
        <v>283</v>
      </c>
      <c r="C20" s="43" t="s">
        <v>285</v>
      </c>
    </row>
    <row r="21" spans="1:5">
      <c r="A21" s="21" t="s">
        <v>161</v>
      </c>
      <c r="B21" s="43" t="s">
        <v>283</v>
      </c>
      <c r="C21" s="43" t="s">
        <v>286</v>
      </c>
    </row>
    <row r="22" spans="1:5">
      <c r="A22" s="21" t="s">
        <v>162</v>
      </c>
      <c r="B22" s="43" t="s">
        <v>288</v>
      </c>
      <c r="C22" s="43" t="s">
        <v>287</v>
      </c>
    </row>
    <row r="23" spans="1:5">
      <c r="A23" s="26" t="s">
        <v>163</v>
      </c>
      <c r="B23" s="48" t="s">
        <v>271</v>
      </c>
      <c r="C23" s="48" t="s">
        <v>268</v>
      </c>
      <c r="D23" s="48" t="s">
        <v>272</v>
      </c>
      <c r="E23" s="48"/>
    </row>
    <row r="24" spans="1:5">
      <c r="A24" s="22" t="s">
        <v>164</v>
      </c>
      <c r="B24" s="44" t="s">
        <v>289</v>
      </c>
      <c r="C24" s="44" t="s">
        <v>48</v>
      </c>
    </row>
    <row r="25" spans="1:5">
      <c r="A25" s="27" t="s">
        <v>165</v>
      </c>
      <c r="B25" s="49" t="s">
        <v>290</v>
      </c>
      <c r="C25" s="49" t="s">
        <v>250</v>
      </c>
    </row>
    <row r="26" spans="1:5">
      <c r="A26" s="27" t="s">
        <v>166</v>
      </c>
      <c r="B26" s="49" t="s">
        <v>292</v>
      </c>
      <c r="C26" s="49" t="s">
        <v>268</v>
      </c>
      <c r="D26" s="49" t="s">
        <v>291</v>
      </c>
      <c r="E26" s="49"/>
    </row>
    <row r="27" spans="1:5">
      <c r="A27" s="27" t="s">
        <v>167</v>
      </c>
      <c r="B27" s="49" t="s">
        <v>271</v>
      </c>
      <c r="C27" s="49" t="s">
        <v>268</v>
      </c>
      <c r="D27" s="49" t="s">
        <v>293</v>
      </c>
      <c r="E27" s="49"/>
    </row>
    <row r="28" spans="1:5">
      <c r="A28" s="21" t="s">
        <v>168</v>
      </c>
      <c r="B28" s="43" t="s">
        <v>289</v>
      </c>
      <c r="C28" s="43" t="s">
        <v>294</v>
      </c>
    </row>
    <row r="29" spans="1:5">
      <c r="A29" s="22" t="s">
        <v>169</v>
      </c>
      <c r="B29" s="44" t="s">
        <v>296</v>
      </c>
      <c r="C29" s="44" t="s">
        <v>295</v>
      </c>
    </row>
    <row r="30" spans="1:5">
      <c r="A30" s="21" t="s">
        <v>170</v>
      </c>
      <c r="B30" s="43" t="s">
        <v>292</v>
      </c>
      <c r="C30" s="43" t="s">
        <v>297</v>
      </c>
    </row>
    <row r="31" spans="1:5">
      <c r="A31" s="23" t="s">
        <v>171</v>
      </c>
      <c r="B31" s="45" t="s">
        <v>299</v>
      </c>
      <c r="C31" s="45" t="s">
        <v>298</v>
      </c>
    </row>
    <row r="32" spans="1:5">
      <c r="A32" s="23" t="s">
        <v>172</v>
      </c>
      <c r="B32" s="45" t="s">
        <v>301</v>
      </c>
      <c r="C32" s="45" t="s">
        <v>300</v>
      </c>
    </row>
    <row r="33" spans="1:5">
      <c r="A33" s="23" t="s">
        <v>173</v>
      </c>
      <c r="B33" s="45" t="s">
        <v>299</v>
      </c>
      <c r="C33" s="45" t="s">
        <v>302</v>
      </c>
    </row>
    <row r="34" spans="1:5">
      <c r="A34" s="23" t="s">
        <v>174</v>
      </c>
      <c r="B34" s="45" t="s">
        <v>304</v>
      </c>
      <c r="C34" s="45" t="s">
        <v>303</v>
      </c>
    </row>
    <row r="35" spans="1:5">
      <c r="A35" s="22" t="s">
        <v>268</v>
      </c>
    </row>
    <row r="36" spans="1:5">
      <c r="A36" s="21" t="s">
        <v>175</v>
      </c>
      <c r="B36" s="43" t="s">
        <v>306</v>
      </c>
      <c r="C36" s="43" t="s">
        <v>305</v>
      </c>
    </row>
    <row r="37" spans="1:5">
      <c r="A37" s="21" t="s">
        <v>176</v>
      </c>
      <c r="B37" s="43" t="s">
        <v>308</v>
      </c>
      <c r="C37" s="43" t="s">
        <v>307</v>
      </c>
    </row>
    <row r="38" spans="1:5">
      <c r="A38" s="21" t="s">
        <v>177</v>
      </c>
      <c r="B38" s="43" t="s">
        <v>310</v>
      </c>
      <c r="C38" s="43" t="s">
        <v>309</v>
      </c>
    </row>
    <row r="39" spans="1:5">
      <c r="A39" s="21" t="s">
        <v>178</v>
      </c>
      <c r="B39" s="43" t="s">
        <v>312</v>
      </c>
      <c r="C39" s="43" t="s">
        <v>311</v>
      </c>
    </row>
    <row r="40" spans="1:5">
      <c r="A40" s="28" t="s">
        <v>179</v>
      </c>
      <c r="B40" s="50" t="s">
        <v>314</v>
      </c>
      <c r="C40" s="50" t="s">
        <v>313</v>
      </c>
    </row>
    <row r="41" spans="1:5">
      <c r="A41" s="21" t="s">
        <v>180</v>
      </c>
      <c r="B41" s="43" t="s">
        <v>296</v>
      </c>
      <c r="C41" s="43" t="s">
        <v>315</v>
      </c>
    </row>
    <row r="42" spans="1:5">
      <c r="A42" s="29" t="s">
        <v>181</v>
      </c>
      <c r="B42" s="51" t="s">
        <v>317</v>
      </c>
      <c r="C42" s="51" t="s">
        <v>316</v>
      </c>
    </row>
    <row r="43" spans="1:5">
      <c r="A43" s="22" t="s">
        <v>182</v>
      </c>
      <c r="B43" s="44" t="s">
        <v>312</v>
      </c>
      <c r="C43" s="44" t="s">
        <v>318</v>
      </c>
    </row>
    <row r="44" spans="1:5">
      <c r="A44" s="22" t="s">
        <v>183</v>
      </c>
      <c r="B44" s="44" t="s">
        <v>320</v>
      </c>
      <c r="C44" s="44" t="s">
        <v>319</v>
      </c>
    </row>
    <row r="45" spans="1:5">
      <c r="A45" s="22" t="s">
        <v>184</v>
      </c>
      <c r="B45" s="44" t="s">
        <v>322</v>
      </c>
      <c r="C45" s="44" t="s">
        <v>321</v>
      </c>
      <c r="D45" s="44" t="s">
        <v>267</v>
      </c>
      <c r="E45" s="44"/>
    </row>
    <row r="46" spans="1:5">
      <c r="A46" s="21" t="s">
        <v>185</v>
      </c>
      <c r="B46" s="43" t="s">
        <v>324</v>
      </c>
      <c r="C46" s="43" t="s">
        <v>323</v>
      </c>
    </row>
    <row r="47" spans="1:5">
      <c r="A47" s="28" t="s">
        <v>186</v>
      </c>
      <c r="B47" s="50" t="s">
        <v>326</v>
      </c>
      <c r="C47" s="50" t="s">
        <v>325</v>
      </c>
    </row>
    <row r="48" spans="1:5">
      <c r="A48" s="22" t="s">
        <v>187</v>
      </c>
      <c r="B48" s="44" t="s">
        <v>324</v>
      </c>
      <c r="C48" s="44" t="s">
        <v>327</v>
      </c>
    </row>
    <row r="49" spans="1:5">
      <c r="A49" s="30" t="s">
        <v>188</v>
      </c>
      <c r="B49" s="52" t="s">
        <v>329</v>
      </c>
      <c r="C49" s="52" t="s">
        <v>328</v>
      </c>
    </row>
    <row r="50" spans="1:5">
      <c r="A50" s="30" t="s">
        <v>189</v>
      </c>
      <c r="B50" s="52" t="s">
        <v>292</v>
      </c>
      <c r="C50" s="52" t="s">
        <v>330</v>
      </c>
    </row>
    <row r="51" spans="1:5">
      <c r="A51" s="30" t="s">
        <v>190</v>
      </c>
      <c r="B51" s="52" t="s">
        <v>331</v>
      </c>
      <c r="C51" s="52" t="s">
        <v>321</v>
      </c>
      <c r="D51" s="52" t="s">
        <v>267</v>
      </c>
      <c r="E51" s="52"/>
    </row>
    <row r="52" spans="1:5">
      <c r="A52" s="25" t="s">
        <v>191</v>
      </c>
      <c r="B52" s="47" t="s">
        <v>284</v>
      </c>
      <c r="C52" s="47" t="s">
        <v>332</v>
      </c>
    </row>
    <row r="53" spans="1:5">
      <c r="A53" s="30" t="s">
        <v>192</v>
      </c>
      <c r="B53" s="52" t="s">
        <v>269</v>
      </c>
      <c r="C53" s="52" t="s">
        <v>268</v>
      </c>
      <c r="D53" s="52" t="s">
        <v>40</v>
      </c>
      <c r="E53" s="52"/>
    </row>
    <row r="54" spans="1:5">
      <c r="A54" s="30" t="s">
        <v>193</v>
      </c>
      <c r="B54" s="52" t="s">
        <v>334</v>
      </c>
      <c r="C54" s="52" t="s">
        <v>333</v>
      </c>
    </row>
    <row r="55" spans="1:5">
      <c r="A55" s="30" t="s">
        <v>194</v>
      </c>
      <c r="B55" s="52" t="s">
        <v>265</v>
      </c>
      <c r="C55" s="52" t="s">
        <v>335</v>
      </c>
    </row>
    <row r="56" spans="1:5">
      <c r="A56" s="21" t="s">
        <v>195</v>
      </c>
      <c r="B56" s="43" t="s">
        <v>338</v>
      </c>
      <c r="C56" s="43" t="s">
        <v>337</v>
      </c>
      <c r="D56" s="43" t="s">
        <v>336</v>
      </c>
      <c r="E56" s="43"/>
    </row>
    <row r="57" spans="1:5">
      <c r="A57" s="25" t="s">
        <v>196</v>
      </c>
      <c r="B57" s="47" t="s">
        <v>340</v>
      </c>
      <c r="C57" s="47" t="s">
        <v>339</v>
      </c>
    </row>
    <row r="58" spans="1:5">
      <c r="A58" s="21" t="s">
        <v>197</v>
      </c>
      <c r="B58" s="43" t="s">
        <v>281</v>
      </c>
      <c r="C58" s="43" t="s">
        <v>341</v>
      </c>
    </row>
    <row r="59" spans="1:5">
      <c r="A59" s="30" t="s">
        <v>198</v>
      </c>
      <c r="B59" s="52" t="s">
        <v>343</v>
      </c>
      <c r="C59" s="52" t="s">
        <v>342</v>
      </c>
    </row>
    <row r="60" spans="1:5">
      <c r="A60" s="30" t="s">
        <v>199</v>
      </c>
      <c r="B60" s="52" t="s">
        <v>263</v>
      </c>
      <c r="C60" s="52" t="s">
        <v>344</v>
      </c>
      <c r="D60" s="52" t="s">
        <v>267</v>
      </c>
      <c r="E60" s="52"/>
    </row>
    <row r="61" spans="1:5">
      <c r="A61" s="30" t="s">
        <v>200</v>
      </c>
      <c r="B61" s="52" t="s">
        <v>346</v>
      </c>
      <c r="C61" s="52" t="s">
        <v>345</v>
      </c>
    </row>
    <row r="62" spans="1:5">
      <c r="A62" s="21" t="s">
        <v>201</v>
      </c>
      <c r="B62" s="43" t="s">
        <v>347</v>
      </c>
      <c r="C62" s="43" t="s">
        <v>43</v>
      </c>
      <c r="D62" s="43" t="s">
        <v>344</v>
      </c>
      <c r="E62" s="43"/>
    </row>
    <row r="63" spans="1:5">
      <c r="A63" s="30" t="s">
        <v>291</v>
      </c>
    </row>
    <row r="64" spans="1:5">
      <c r="A64" s="30" t="s">
        <v>202</v>
      </c>
      <c r="B64" s="52" t="s">
        <v>349</v>
      </c>
      <c r="C64" s="52" t="s">
        <v>348</v>
      </c>
    </row>
    <row r="65" spans="1:5">
      <c r="A65" s="30" t="s">
        <v>203</v>
      </c>
      <c r="B65" s="52" t="s">
        <v>352</v>
      </c>
      <c r="C65" s="52" t="s">
        <v>351</v>
      </c>
      <c r="D65" s="52" t="s">
        <v>350</v>
      </c>
      <c r="E65" s="52"/>
    </row>
    <row r="66" spans="1:5">
      <c r="A66" s="30" t="s">
        <v>204</v>
      </c>
      <c r="B66" s="52" t="s">
        <v>284</v>
      </c>
      <c r="C66" s="52" t="s">
        <v>283</v>
      </c>
      <c r="D66" s="52" t="s">
        <v>353</v>
      </c>
      <c r="E66" s="52"/>
    </row>
    <row r="67" spans="1:5">
      <c r="A67" s="30" t="s">
        <v>205</v>
      </c>
      <c r="B67" s="52" t="s">
        <v>355</v>
      </c>
      <c r="C67" s="52" t="s">
        <v>354</v>
      </c>
    </row>
    <row r="68" spans="1:5">
      <c r="A68" s="22" t="s">
        <v>206</v>
      </c>
      <c r="B68" s="44" t="s">
        <v>357</v>
      </c>
      <c r="C68" s="44" t="s">
        <v>356</v>
      </c>
    </row>
    <row r="69" spans="1:5">
      <c r="A69" s="22" t="s">
        <v>207</v>
      </c>
      <c r="B69" s="44" t="s">
        <v>358</v>
      </c>
      <c r="C69" s="44" t="s">
        <v>19</v>
      </c>
    </row>
    <row r="70" spans="1:5">
      <c r="A70" s="26" t="s">
        <v>208</v>
      </c>
      <c r="B70" s="48" t="s">
        <v>360</v>
      </c>
      <c r="C70" s="48" t="s">
        <v>359</v>
      </c>
    </row>
    <row r="71" spans="1:5">
      <c r="A71" s="22" t="s">
        <v>209</v>
      </c>
      <c r="B71" s="44" t="s">
        <v>357</v>
      </c>
      <c r="C71" s="44" t="s">
        <v>361</v>
      </c>
    </row>
    <row r="72" spans="1:5">
      <c r="A72" s="30" t="s">
        <v>210</v>
      </c>
      <c r="B72" s="52" t="s">
        <v>296</v>
      </c>
      <c r="C72" s="52" t="s">
        <v>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SummarySheet</vt:lpstr>
      <vt:lpstr>Rept Example</vt:lpstr>
      <vt:lpstr>naukri.com</vt:lpstr>
      <vt:lpstr>Text Function</vt:lpstr>
      <vt:lpstr>Sheet2</vt:lpstr>
      <vt:lpstr>Sheet3</vt:lpstr>
      <vt:lpstr>Sheet4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Noorain Ansari</dc:creator>
  <cp:lastModifiedBy>Abhilash pratap</cp:lastModifiedBy>
  <cp:lastPrinted>2014-03-09T03:21:03Z</cp:lastPrinted>
  <dcterms:created xsi:type="dcterms:W3CDTF">2014-03-02T02:35:43Z</dcterms:created>
  <dcterms:modified xsi:type="dcterms:W3CDTF">2020-05-14T17:15:48Z</dcterms:modified>
</cp:coreProperties>
</file>